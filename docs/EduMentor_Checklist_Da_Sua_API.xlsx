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68930501-6217-4E27-BFDA-D15E23E13CD1}" xr6:coauthVersionLast="47" xr6:coauthVersionMax="47" xr10:uidLastSave="{00000000-0000-0000-0000-000000000000}"/>
  <bookViews>
    <workbookView xWindow="-108" yWindow="-108" windowWidth="23256" windowHeight="12456" tabRatio="500" firstSheet="1" activeTab="1" xr2:uid="{00000000-000D-0000-FFFF-FFFF00000000}"/>
  </bookViews>
  <sheets>
    <sheet name="Tổng quan" sheetId="1" r:id="rId1"/>
    <sheet name="Danh sách thay đổi" sheetId="2" r:id="rId2"/>
    <sheet name="Quyết định cần chốt" sheetId="3" r:id="rId3"/>
    <sheet name="Giải thích" sheetId="4" r:id="rId4"/>
    <sheet name="Endpoint (bản mới)" sheetId="5" r:id="rId5"/>
    <sheet name="File cần sửa" sheetId="6" r:id="rId6"/>
  </sheets>
  <definedNames>
    <definedName name="_xlnm._FilterDatabase" localSheetId="1" hidden="1">'Danh sách thay đổi'!$A$4:$M$33</definedName>
    <definedName name="_xlnm._FilterDatabase" localSheetId="4" hidden="1">'Endpoint (bản mới)'!$A$4:$K$40</definedName>
    <definedName name="_xlnm._FilterDatabase" localSheetId="2" hidden="1">'Quyết định cần chốt'!$A$4:$K$15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8" i="1" l="1"/>
  <c r="C48" i="1"/>
  <c r="B48" i="1"/>
  <c r="D47" i="1"/>
  <c r="C47" i="1"/>
  <c r="B47" i="1"/>
  <c r="D46" i="1"/>
  <c r="C46" i="1"/>
  <c r="B46" i="1"/>
  <c r="D45" i="1"/>
  <c r="C45" i="1"/>
  <c r="B45" i="1"/>
  <c r="D41" i="1"/>
  <c r="C41" i="1"/>
  <c r="B41" i="1"/>
  <c r="D40" i="1"/>
  <c r="C40" i="1"/>
  <c r="B40" i="1"/>
  <c r="D39" i="1"/>
  <c r="C39" i="1"/>
  <c r="B39" i="1"/>
  <c r="D35" i="1"/>
  <c r="C35" i="1"/>
  <c r="B35" i="1"/>
  <c r="D34" i="1"/>
  <c r="C34" i="1"/>
  <c r="B34" i="1"/>
  <c r="D33" i="1"/>
  <c r="C33" i="1"/>
  <c r="B33" i="1"/>
  <c r="B29" i="1"/>
  <c r="C29" i="1" s="1"/>
  <c r="C28" i="1"/>
  <c r="B28" i="1"/>
  <c r="B27" i="1"/>
  <c r="B26" i="1"/>
  <c r="C26" i="1" s="1"/>
  <c r="B25" i="1"/>
  <c r="B24" i="1"/>
  <c r="B23" i="1"/>
  <c r="B22" i="1"/>
  <c r="C22" i="1" s="1"/>
  <c r="B21" i="1"/>
  <c r="C21" i="1" s="1"/>
  <c r="B20" i="1"/>
</calcChain>
</file>

<file path=xl/sharedStrings.xml><?xml version="1.0" encoding="utf-8"?>
<sst xmlns="http://schemas.openxmlformats.org/spreadsheetml/2006/main" count="1060" uniqueCount="536">
  <si>
    <t>EduMentor AI — Checklist thay đổi đặc tả API (§2 và §10)</t>
  </si>
  <si>
    <t>Mục đích: giúp cả nhóm kiểm tra những chỗ còn thiếu hoặc mâu thuẫn giữa bảng endpoint và thiết kế cơ sở dữ liệu, rồi thống nhất cách sửa.</t>
  </si>
  <si>
    <t>CÁCH DÙNG (5 bước)</t>
  </si>
  <si>
    <t>1. Mở sheet "Danh sách thay đổi" và đọc từng dòng (cột "Đặc tả chi tiết" nói rõ cần làm gì).</t>
  </si>
  <si>
    <t>2. Gặp chỗ khó (có mã G… ở cột cuối) → bấm vào mã để xem giải thích và ví dụ ở sheet "Giải thích".</t>
  </si>
  <si>
    <t>3. Cả nhóm thống nhất → chọn ☑ ở cột "Nhóm đồng ý". Chưa đồng ý thì để ☐ và ghi lý do vào cột Ghi chú.</t>
  </si>
  <si>
    <t>4. Các câu hỏi chưa có đáp án nằm ở sheet "Quyết định cần chốt": chọn A / B / Khác rồi tick "Đã chốt".</t>
  </si>
  <si>
    <t>5. Sau khi sửa tài liệu/code, tick cột "Đã cập nhật xong" (sheet Danh sách thay đổi) và "Đã sửa xong" (sheet File cần sửa).</t>
  </si>
  <si>
    <t>CHÚ GIẢI</t>
  </si>
  <si>
    <t>Bắt buộc</t>
  </si>
  <si>
    <t>Thiếu thì thiết kế bị hỏng hoặc mâu thuẫn; nên làm trong phiên bản đầu.</t>
  </si>
  <si>
    <t>Nên có</t>
  </si>
  <si>
    <t>Làm cho hệ thống đầy đủ và dễ dùng hơn.</t>
  </si>
  <si>
    <t>Tùy chọn</t>
  </si>
  <si>
    <t>Có thể để sau nếu hết thời gian.</t>
  </si>
  <si>
    <t>Dễ / Trung bình / Khó</t>
  </si>
  <si>
    <t>Độ khó khi lập trình: Dễ ≈ vài giờ; Trung bình ≈ 1–2 ngày; Khó ≈ nhiều ngày hoặc cần phối hợp nhiều người.</t>
  </si>
  <si>
    <t>Ô vàng nhạt</t>
  </si>
  <si>
    <t>Ô để nhóm nhập: tick ☐/☑, chọn A/B, hoặc viết ghi chú.</t>
  </si>
  <si>
    <t>TIẾN ĐỘ CHUNG (tự tính)</t>
  </si>
  <si>
    <t>Chỉ số</t>
  </si>
  <si>
    <t>Số lượng</t>
  </si>
  <si>
    <t>Tỉ lệ</t>
  </si>
  <si>
    <t>Tổng số hạng mục thay đổi</t>
  </si>
  <si>
    <t>Nhóm đã đồng ý (☑)</t>
  </si>
  <si>
    <t>Đã cập nhật xong tài liệu/code</t>
  </si>
  <si>
    <t>Hạng mục "Bắt buộc" chưa được đồng ý</t>
  </si>
  <si>
    <t>Hạng mục "Khó" chưa được đồng ý</t>
  </si>
  <si>
    <t>Quyết định cần chốt (tổng)</t>
  </si>
  <si>
    <t>Quyết định đã chốt (☑)</t>
  </si>
  <si>
    <t>File cần sửa (tổng)</t>
  </si>
  <si>
    <t>File đã sửa xong (☑)</t>
  </si>
  <si>
    <t>Endpoint đã làm xong (☑)</t>
  </si>
  <si>
    <t>THEO MỨC ĐỘ ƯU TIÊN</t>
  </si>
  <si>
    <t>Mức độ</t>
  </si>
  <si>
    <t>Số hạng mục</t>
  </si>
  <si>
    <t>Đã đồng ý</t>
  </si>
  <si>
    <t>Đã cập nhật</t>
  </si>
  <si>
    <t>THEO ĐỘ KHÓ</t>
  </si>
  <si>
    <t>Độ khó</t>
  </si>
  <si>
    <t>Dễ</t>
  </si>
  <si>
    <t>Trung bình</t>
  </si>
  <si>
    <t>Khó</t>
  </si>
  <si>
    <t>THEO NGƯỜI PHỤ TRÁCH (đề xuất)</t>
  </si>
  <si>
    <t>Thành viên</t>
  </si>
  <si>
    <t>Hòa</t>
  </si>
  <si>
    <t>Tuấn</t>
  </si>
  <si>
    <t>Tâm</t>
  </si>
  <si>
    <t>Khôi</t>
  </si>
  <si>
    <t>Ghi chú: một hạng mục có nhiều người phụ trách (ví dụ "Tuấn + Hòa + Tâm") được đếm cho từng người. Phân công này chỉ là đề xuất, nhóm có thể đổi ở cột "Phụ trách đề xuất".</t>
  </si>
  <si>
    <t>Danh sách thay đổi cần nhóm duyệt</t>
  </si>
  <si>
    <t>Cách dùng: đọc cột "Đặc tả chi tiết", rồi chọn ☑ ở cột "Nhóm đồng ý" nếu cả nhóm đồng ý (bấm vào ô → chọn từ danh sách). Sau khi sửa xong tài liệu/code thì tick cột "Đã cập nhật xong". Chỗ khó có mã G… ở cột cuối: bấm vào để xem giải thích và ví dụ ở sheet "Giải thích".</t>
  </si>
  <si>
    <t>Mã</t>
  </si>
  <si>
    <t>Phân hệ</t>
  </si>
  <si>
    <t>Hạng mục thay đổi</t>
  </si>
  <si>
    <t>Loại</t>
  </si>
  <si>
    <t>Đặc tả chi tiết (làm gì)</t>
  </si>
  <si>
    <t>Vì sao cần</t>
  </si>
  <si>
    <t>Phụ trách đề xuất</t>
  </si>
  <si>
    <t>Nhóm đồng ý</t>
  </si>
  <si>
    <t>Đã cập nhật xong</t>
  </si>
  <si>
    <t>Ghi chú của nhóm</t>
  </si>
  <si>
    <t>Xem giải thích</t>
  </si>
  <si>
    <t>T01</t>
  </si>
  <si>
    <t>Xác thực &amp; hồ sơ</t>
  </si>
  <si>
    <t>POST /api/auth/forgot-password</t>
  </si>
  <si>
    <t>Thêm mới</t>
  </si>
  <si>
    <t>Body: {"email": "..."}
1) Tìm User theo email.
2) Nếu có: tạo mã ngẫu nhiên, lưu hash vào PasswordResetToken.token_hash, hạn 15–30 phút, gửi email chứa link.
3) Dù email có tồn tại hay không đều trả CÙNG một thông báo.</t>
  </si>
  <si>
    <t>Bảng PasswordResetToken đã thiết kế nhưng chưa có endpoint nào dùng. Trả cùng thông báo để người lạ không dò được email nào đã đăng ký.</t>
  </si>
  <si>
    <t>☑</t>
  </si>
  <si>
    <t>☐</t>
  </si>
  <si>
    <t>Tìm User theo email</t>
  </si>
  <si>
    <t>G2</t>
  </si>
  <si>
    <t>T02</t>
  </si>
  <si>
    <t>POST /api/auth/reset-password</t>
  </si>
  <si>
    <t>Body: {"token": "...", "new_password": "..."}
Băm token nhận được → tìm dòng khớp token_hash → kiểm tra chưa quá expires_at và used_at còn trống → đổi User.hashed_password, ghi used_at, vô hiệu các token cũ chưa dùng của tài khoản.</t>
  </si>
  <si>
    <t>Hoàn tất luồng quên mật khẩu. Mỗi mã chỉ dùng một lần và có hạn.</t>
  </si>
  <si>
    <t>T03</t>
  </si>
  <si>
    <t>POST /api/me/change-password</t>
  </si>
  <si>
    <t xml:space="preserve">Body: {"current_password": "...", "new_password": "..."}
Sai mật khẩu hiện tại → 400/401. Không trả mật khẩu trong response. </t>
  </si>
  <si>
    <t>Người đã đăng nhập cần đổi mật khẩu mà không phải qua email.</t>
  </si>
  <si>
    <t>T04</t>
  </si>
  <si>
    <t>Ảnh đại diện: PATCH /api/me nhận avatar_url; POST /api/me/avatar (upload)</t>
  </si>
  <si>
    <t>Giai đoạn 1: PATCH /api/me cho sửa full_name và avatar_url (nhập đường dẫn ảnh).
Giai đoạn 2 (tùy chọn): POST /api/me/avatar nhận file ảnh, lưu và cập nhật avatar_url.</t>
  </si>
  <si>
    <t>Cột User.avatar_url đã có và trang Profile có ảnh đại diện nhưng chưa có cách đặt ảnh.</t>
  </si>
  <si>
    <t>giai đoạn 2 upload avata</t>
  </si>
  <si>
    <t>T05</t>
  </si>
  <si>
    <t xml:space="preserve">Tóm tắt hồ sơ </t>
  </si>
  <si>
    <t>GET /api/me/summary</t>
  </si>
  <si>
    <t>Trả số liệu cho trang Profile, ví dụ:
{"ongoing_courses":3, "completed_courses":5, "known_skills":8, "ongoing_paths":1}  
Đếm từ StudentCourse, UserSkill (status=known), LearningPath (status=ongoing).</t>
  </si>
  <si>
    <t>Không có endpoint này thì trang Profile phải gọi 4 endpoint khác nhau chỉ để hiện 4 con số.</t>
  </si>
  <si>
    <t>Trả số liệu cho trang Profile, ví dụ:
{"ongoing_courses":3, "completed_courses":5, "known_skills":8, "ongoing_paths":1}  (làm bình thường)
Đếm từ StudentCourse, UserSkill (status=known), LearningPath (status=ongoing).(nhóm chưa chốt)</t>
  </si>
  <si>
    <t>T06</t>
  </si>
  <si>
    <t xml:space="preserve"> </t>
  </si>
  <si>
    <t>Chốt body của PATCH /api/me/skills</t>
  </si>
  <si>
    <t>Chốt quy tắc</t>
  </si>
  <si>
    <t>{"add":[{"skill_id":12,"status":"known"}], "update":[{"skill_id":5,"status":"learning"}], "remove":[7]}
- status ∈ learning | known.
- Ba khóa đều tùy chọn thời điểm đăng ký.
- Làm trong MỘT transaction: lỗi một phần thì hủy cả request.
- Kiểm tra skill_id có trong bảng Skill.
- add một kỹ năng đã có = cập nhật (upsert).</t>
  </si>
  <si>
    <t>Spec chỉ ghi "thêm, cập nhật hoặc xóa" bằng một PATCH nhưng chưa nói gửi dữ liệu thế nào; frontend và backend sẽ làm lệch nhau.</t>
  </si>
  <si>
    <t>G3</t>
  </si>
  <si>
    <t>T07</t>
  </si>
  <si>
    <t>GET /api/me/skills hỗ trợ ?status=known|learning</t>
  </si>
  <si>
    <t>Sửa</t>
  </si>
  <si>
    <t>Thêm bộ lọc status. Lộ trình chỉ coi nút là xong khi kỹ năng ở trạng thái known nên cần lọc nhanh.</t>
  </si>
  <si>
    <t>UserSkill.status có 2 giá trị nhưng endpoint chưa cho lọc.</t>
  </si>
  <si>
    <t>T08</t>
  </si>
  <si>
    <t>GET /api/me/courses?status=abandoned</t>
  </si>
  <si>
    <t>Trả các khóa học đã bỏ. Danh sách mặc định vẫn loại abandoned.</t>
  </si>
  <si>
    <t>§4 nói khóa đã bỏ xem được qua "bộ lọc lịch sử" nhưng bảng §2 chỉ có 3 bộ lọc (ongoing, bookmarked, completed).</t>
  </si>
  <si>
    <t>T09</t>
  </si>
  <si>
    <t>register không nhận role từ client</t>
  </si>
  <si>
    <t>POST /api/auth/register luôn tạo role = student. Tài khoản admin chỉ tạo bằng scripts/create_admin.py. PATCH /api/me không cho sửa role.</t>
  </si>
  <si>
    <t>Nếu client gửi được role thì ai cũng tự thành admin (lỗ hổng bảo mật).</t>
  </si>
  <si>
    <t>T10</t>
  </si>
  <si>
    <t>Giao diện</t>
  </si>
  <si>
    <t>Sửa mẫu trang Profile</t>
  </si>
  <si>
    <t>Ô email chuyển thành chỉ đọc (nếu chọn D06 = A). Thêm nút "Đổi mật khẩu" và liên kết "Quên mật khẩu" ở trang đăng nhập.</t>
  </si>
  <si>
    <t>Mẫu hiện cho sửa email nhưng PATCH /api/me chưa hỗ trợ đổi email.</t>
  </si>
  <si>
    <t>T11</t>
  </si>
  <si>
    <t>Ôn tập</t>
  </si>
  <si>
    <t>Đổi 4 endpoint ôn tập từ "theo kỹ năng" sang "theo khóa học"</t>
  </si>
  <si>
    <t>GET /api/skills/{id}/review → GET /api/courses/{course_id}/review
POST /api/skills/{id}/review-attempts → POST /api/courses/{course_id}/review-attempts
Giữ nguyên: GET /api/review-attempts/{id}, POST .../submit.</t>
  </si>
  <si>
    <t>ReviewAttempt chỉ lưu student_course_id (không có skill_id), và §2/§4 nói hoàn thành bài ôn tập đánh dấu KHÓA HỌC completed. Endpoint theo kỹ năng không cho biết khóa nào cần đánh dấu.</t>
  </si>
  <si>
    <t>G1</t>
  </si>
  <si>
    <t>T12</t>
  </si>
  <si>
    <t>Xóa GET/PATCH /api/me/skills khỏi §10</t>
  </si>
  <si>
    <t>Xóa</t>
  </si>
  <si>
    <t>Hai endpoint này đã có ở §2 (Hòa làm). Ở §10 chỉ ghi chú: "xem §2".</t>
  </si>
  <si>
    <t>Trùng lặp: hai người cùng làm một endpoint sẽ xung đột khi merge.</t>
  </si>
  <si>
    <t>T13</t>
  </si>
  <si>
    <t>Nộp bài chạy trong MỘT transaction</t>
  </si>
  <si>
    <t>POST .../submit khi đạt (passed = true):
1) Chấm từng câu, ghi ReviewAnswer.
2) Ghi score_percent, passed.
3) StudentCourse.status → completed, ghi completed_at.
4) Thêm/cập nhật UserSkill (known) cho MỌI kỹ năng của khóa (qua CourseSkillRelation).
5) Kiểm tra lại các LearningPath đang ongoing có chứa các kỹ năng đó.
Bước nào lỗi thì hủy toàn bộ.(tạm thời chưa quyết định)
6) SAU KHI commit thành công: trả kết quả (score_percent, passed) cho học viên ngay, rồi mới chạy nền gửi email kết quả (T29). Gửi email KHÔNG nằm trong transaction; gửi lỗi không hủy bài đã lưu.</t>
  </si>
  <si>
    <t>Nếu không dùng transaction, lỗi giữa chừng làm khóa "completed" nhưng hồ sơ kỹ năng chưa cập nhật (dữ liệu lệch).</t>
  </si>
  <si>
    <t>Tuấn + Hòa + Tâm</t>
  </si>
  <si>
    <t>5) Kiểm tra lại các LearningPath đang ongoing có chứa các kỹ năng đó.
Bước nào lỗi thì hủy toàn bộ.(tạm thời chưa quyết định)</t>
  </si>
  <si>
    <t>G4</t>
  </si>
  <si>
    <t>T14</t>
  </si>
  <si>
    <t>Chọn 20 câu và tạo sẵn 20 dòng ReviewAnswer khi bắt đầu</t>
  </si>
  <si>
    <t xml:space="preserve">POST .../review-attempts: lấy 60 câu ngẫu nhiên từ Question của các kỹ năng khóa đó dạy (is_active = true), chia đều giữa các kỹ năng, ghi sẵn 20 câu random ReviewAnswer (position 1–20, chưa có selected_index). </t>
  </si>
  <si>
    <t>Server biết chính xác 20 câu cần chấm; client không thể gửi câu hỏi bừa hay lấy câu dễ.</t>
  </si>
  <si>
    <t>G5</t>
  </si>
  <si>
    <t>T15</t>
  </si>
  <si>
    <t>Không lộ đáp án trước khi nộp; chỉ chủ sở hữu xem attempt</t>
  </si>
  <si>
    <t xml:space="preserve">Trước khi nộp: KHÔNG trả correct_index và explanation ở bất kỳ endpoint nào. Attempt của người khác → trả 404 (không phải 403, để không lộ sự tồn tại). </t>
  </si>
  <si>
    <t>Người dùng mở công cụ nhà phát triển trên trình duyệt là thấy hết dữ liệu API trả về.</t>
  </si>
  <si>
    <t>(user làm hết câu hỏi rồi trả về đáp án )</t>
  </si>
  <si>
    <t>G9</t>
  </si>
  <si>
    <t>T16</t>
  </si>
  <si>
    <t>Điều kiện bắt đầu và lỗi 409</t>
  </si>
  <si>
    <t>- Chưa có StudentCourse hoặc chưa ongoing → 409 (hướng dẫn bấm "Tham gia").
- Khóa đã completed → 409 (trừ khi D10 chọn cho ôn lại).
- Nộp lần hai → 409.
- Câu bỏ trống tính là sai.</t>
  </si>
  <si>
    <t>§10 chưa nói rõ khi nào được/không được làm bài.</t>
  </si>
  <si>
    <t>T17</t>
  </si>
  <si>
    <t>review-history: bộ lọc và phân trang</t>
  </si>
  <si>
    <t>GET /api/me/review-history hỗ trợ ?course_id=, ?passed=true|false, ?page=&amp;page_size=.</t>
  </si>
  <si>
    <t>Danh sách sẽ dài dần theo số lần làm bài; trang Profile cần lọc theo khóa.</t>
  </si>
  <si>
    <t>T18</t>
  </si>
  <si>
    <t>Cập nhật trạng thái LearningPath sau khi ôn tập đạt</t>
  </si>
  <si>
    <t>Sau khi UserSkill được cập nhật, nếu mọi nút bắt buộc (is_required = true) của một lộ trình ongoing đều có kỹ năng known thì LearningPath.status → completed. Viết thành một hàm trong learning_path_service để Tuấn gọi.</t>
  </si>
  <si>
    <t>Spec định nghĩa completed = mọi nút bắt buộc đã xong, nhưng chưa nói ai và lúc nào cập nhật.</t>
  </si>
  <si>
    <t>G8</t>
  </si>
  <si>
    <t>T19</t>
  </si>
  <si>
    <t>Quản trị</t>
  </si>
  <si>
    <t>CRUD ngân hàng câu hỏi: /api/admin/questions</t>
  </si>
  <si>
    <t>GET (lọc ?skill_id=, kèm số câu của từng kỹ năng), POST, GET /{id}, PATCH /{id}, DELETE /{id}.
POST body: skill_id, content, options (đúng 4 đáp án), correct_index (0–3), explanation.</t>
  </si>
  <si>
    <t>Bảng Question không có endpoint quản trị nên chỉ nạp được bằng seed. Mỗi kỹ năng cần ≥ 20 câu mới có bài ôn tập.</t>
  </si>
  <si>
    <t>G6</t>
  </si>
  <si>
    <t>T20</t>
  </si>
  <si>
    <t>DELETE question: xóa hoặc vô hiệu hóa</t>
  </si>
  <si>
    <t>Chưa từng dùng trong bài nào → xóa thật. Đã có ReviewAnswer tham chiếu → đặt is_active = false (ẩn khỏi bài mới, giữ lịch sử).</t>
  </si>
  <si>
    <t>Khóa ngoại ReviewAnswer → Question là RESTRICT nên không xóa được câu đã dùng.</t>
  </si>
  <si>
    <t>T21</t>
  </si>
  <si>
    <t>POST /api/admin/questions/import (nhập hàng loạt)</t>
  </si>
  <si>
    <t>Nhận file CSV/JSON. Kiểm tra: skill_id tồn tại, đúng 4 đáp án, correct_index 0–3. Trả báo cáo số dòng thành công/lỗi.</t>
  </si>
  <si>
    <t>Nhập tay hàng trăm câu hỏi là rất chậm.</t>
  </si>
  <si>
    <t>T22</t>
  </si>
  <si>
    <t>Phản hồi &amp; liên hệ</t>
  </si>
  <si>
    <t>POST /api/feedback</t>
  </si>
  <si>
    <t>Body: target_type (course|system), course_id (bắt buộc khi course, để trống khi system), feedback_type, content. user_id lấy từ tài khoản đăng nhập.</t>
  </si>
  <si>
    <t>Bảng Feedback có sẵn cho màn hình "Liên hệ &amp; góp ý" nhưng chưa có endpoint.</t>
  </si>
  <si>
    <t>G7</t>
  </si>
  <si>
    <t>T23</t>
  </si>
  <si>
    <t>GET /api/courses/{course_id}/contact</t>
  </si>
  <si>
    <t>Trả instructor (từ Course) và contact_email, contact_phone (từ CourseContact; có thể rỗng).</t>
  </si>
  <si>
    <t>Khung "Thông tin liên hệ của khóa học" cạnh form phản hồi.</t>
  </si>
  <si>
    <t>T24</t>
  </si>
  <si>
    <t>GET /api/admin/feedback</t>
  </si>
  <si>
    <t>Admin xem phản hồi; lọc theo target_type, course_id; phân trang.</t>
  </si>
  <si>
    <t>Phản hồi gửi đi phải có chỗ để admin đọc.</t>
  </si>
  <si>
    <t>T25</t>
  </si>
  <si>
    <t>PATCH /api/admin/courses/{course_id}/contact</t>
  </si>
  <si>
    <t>Admin nhập hoặc sửa email, số điện thoại liên hệ (tạo dòng CourseContact nếu chưa có).</t>
  </si>
  <si>
    <t>Dataset không có email/số điện thoại nên cần nhập tay.</t>
  </si>
  <si>
    <t>T26</t>
  </si>
  <si>
    <t>Cơ sở dữ liệu</t>
  </si>
  <si>
    <t>Thêm Question.is_active</t>
  </si>
  <si>
    <t>is_active BOOLEAN NOT NULL DEFAULT TRUE. Bài ôn tập chỉ lấy câu is_active = true.</t>
  </si>
  <si>
    <t>Cho phép ẩn câu hỏi đã dùng thay vì xóa.</t>
  </si>
  <si>
    <t>T27</t>
  </si>
  <si>
    <t>Thêm ReviewAttempt.submitted_at</t>
  </si>
  <si>
    <t>submitted_at TIMESTAMP NULL. attempted_at = lúc bắt đầu, submitted_at = lúc nộp. Rỗng = đang làm dở.</t>
  </si>
  <si>
    <t>Hiện chỉ có attempted_at nên không phân biệt được lúc bắt đầu và lúc nộp.</t>
  </si>
  <si>
    <t>T28</t>
  </si>
  <si>
    <t>Cấu hình</t>
  </si>
  <si>
    <t>Thêm biến môi trường</t>
  </si>
  <si>
    <t>SMTP_HOST, SMTP_PORT, SMTP_USER, SMTP_PASSWORD, FRONTEND_URL, RESET_TOKEN_EXPIRE_MINUTES, REVIEW_PASS_PERCENT → .env.example và SETUP.md.</t>
  </si>
  <si>
    <t>Gửi email quên mật khẩu cần SMTP; điểm đạt đọc từ cấu hình để đổi không cần sửa code.</t>
  </si>
  <si>
    <t>T29</t>
  </si>
  <si>
    <t>Gửi email kết quả sau khi nộp bài</t>
  </si>
  <si>
    <t>Thứ tự trong POST /api/review-attempts/{attempt_id}/submit:
1) Chấm điểm và lưu toàn bộ trong MỘT transaction (T13), commit.
2) Trả ngay score_percent, passed, số câu đúng cho học viên.
3) SAU ĐÓ chạy nền (FastAPI BackgroundTasks) gửi email tới User.email: tên khóa học, điểm %, Đạt/Không đạt (ngưỡng REVIEW_PASS_PERCENT), số câu đúng/20, thời gian nộp, link FRONTEND_URL/review/history/{attempt_id}.
4) Gửi lỗi → chỉ ghi log; KHÔNG rollback, KHÔNG trả lỗi cho người dùng.
Dùng chung module app/core/email.py (send_email) với luồng quên mật khẩu.</t>
  </si>
  <si>
    <t>Học viên có bản lưu kết quả trong hộp thư. Tách khỏi transaction để máy chủ email chậm/lỗi không làm mất bài và không bắt học viên chờ.</t>
  </si>
  <si>
    <t>Quyết định cần nhóm chốt</t>
  </si>
  <si>
    <t>Mỗi dòng là một câu hỏi mà tài liệu hiện chưa trả lời. Cả nhóm thống nhất → chọn A / B / Khác ở cột "Nhóm chọn" → tick ☑ "Đã chốt". Nếu chọn "Khác" hoặc cần ghi con số cụ thể thì viết vào cột "Ghi chú".</t>
  </si>
  <si>
    <t>Câu hỏi cần chốt</t>
  </si>
  <si>
    <t>Bối cảnh (nói đơn giản)</t>
  </si>
  <si>
    <t>Phương án A</t>
  </si>
  <si>
    <t>Phương án B</t>
  </si>
  <si>
    <t>Đề xuất</t>
  </si>
  <si>
    <t>Nếu chọn thì ảnh hưởng gì</t>
  </si>
  <si>
    <t>Nhóm chọn</t>
  </si>
  <si>
    <t>Đã chốt</t>
  </si>
  <si>
    <t>Ghi chú / giá trị cụ thể</t>
  </si>
  <si>
    <t>Liên quan</t>
  </si>
  <si>
    <t>D01</t>
  </si>
  <si>
    <t>Ôn tập tính THEO KHÓA HỌC hay THEO KỸ NĂNG?</t>
  </si>
  <si>
    <t>Bài ôn tập đánh dấu cả khóa học là hoàn thành, nhưng khóa học có thể dạy nhiều kỹ năng.</t>
  </si>
  <si>
    <t>A. Theo khóa học: đường dẫn /api/courses/{course_id}/review…; 20 câu lấy từ các kỹ năng của khóa.</t>
  </si>
  <si>
    <t>B. Theo kỹ năng: giữ đường dẫn /api/skills/{id}/review…, thêm cột skill_id vào ReviewAttempt, body bắt buộc có course_id.</t>
  </si>
  <si>
    <t>A</t>
  </si>
  <si>
    <t>A: sửa 4 đường dẫn, DB giữ nguyên.
B: sửa DB và vẫn phải trả lời "khóa dạy 3 kỹ năng thì ôn kỹ năng nào để completed".</t>
  </si>
  <si>
    <t>T11, T12, T14</t>
  </si>
  <si>
    <t>D02</t>
  </si>
  <si>
    <t>Điểm đạt tối thiểu là bao nhiêu phần trăm?</t>
  </si>
  <si>
    <t>Spec chỉ nói "theo chính sách hoàn thành đã thống nhất", chưa có con số. Cột passed lưu kết quả đạt/không đạt.</t>
  </si>
  <si>
    <t>A. 70%</t>
  </si>
  <si>
    <t>B. 80%  (hoặc giá trị khác: ghi vào cột Ghi chú và chọn "Khác")</t>
  </si>
  <si>
    <t xml:space="preserve">A </t>
  </si>
  <si>
    <t>Chọn giá trị rồi đặt vào biến REVIEW_PASS_PERCENT. Đổi mức đạt sau này không làm thay đổi kết quả cũ vì passed đã được lưu riêng. (Con số 70/80 chỉ để minh họa.)</t>
  </si>
  <si>
    <t>Khác</t>
  </si>
  <si>
    <t>&gt;=60 Đậu</t>
  </si>
  <si>
    <t>T13, T28</t>
  </si>
  <si>
    <t>D03</t>
  </si>
  <si>
    <t>Được làm lại bài ôn tập không? Có tiếp tục bài đang dở không?</t>
  </si>
  <si>
    <t>Mỗi lần làm bài là một dòng ReviewAttempt mới.</t>
  </si>
  <si>
    <t>A. Làm lại không giới hạn; mỗi khóa chỉ có tối đa một bài đang dở (bắt đầu lại thì trả bài dở đó).</t>
  </si>
  <si>
    <t>B. Giới hạn số lần hoặc phải chờ một khoảng thời gian giữa hai lần.</t>
  </si>
  <si>
    <t>B cần thêm đếm số lần và kiểm tra thời gian trong review_service.</t>
  </si>
  <si>
    <t xml:space="preserve">D04 </t>
  </si>
  <si>
    <t>20 câu lấy từ đâu khi khóa dạy nhiều kỹ năng?</t>
  </si>
  <si>
    <t>Question gắn với từng kỹ năng. Tài liệu DB ghi "mỗi kỹ năng cần ≥ 20 câu".</t>
  </si>
  <si>
    <t>A. Gộp câu hỏi của tất cả kỹ năng khóa dạy, tổng ≥ 20; chia đều giữa các kỹ năng.</t>
  </si>
  <si>
    <t>B. Mỗi kỹ năng phải đủ 20 câu riêng (khóa dạy 3 kỹ năng cần 60 câu).</t>
  </si>
  <si>
    <t>B đòi ngân hàng câu hỏi lớn hơn nhiều; A dễ đạt điều kiện "có bài ôn tập" hơn.</t>
  </si>
  <si>
    <t>(tự tạo gent ai)</t>
  </si>
  <si>
    <t>T14, T19</t>
  </si>
  <si>
    <t>D05</t>
  </si>
  <si>
    <t>UserSkill.status = "learning" được đặt khi nào?</t>
  </si>
  <si>
    <t>Cột có 2 giá trị learning và known nhưng spec chưa nói ai đặt "learning".</t>
  </si>
  <si>
    <t>A. Khi bấm Tham gia khóa (join): thêm các kỹ năng của khóa ở trạng thái learning (nếu chưa known).</t>
  </si>
  <si>
    <t>B. Chỉ người dùng tự đặt thủ công qua PATCH /api/me/skills.</t>
  </si>
  <si>
    <t>A: sửa thêm logic trong endpoint join (Hòa). B: đơn giản hơn nhưng trạng thái learning hiếm khi có dữ liệu.</t>
  </si>
  <si>
    <t>D06</t>
  </si>
  <si>
    <t>Cho phép đổi email không?</t>
  </si>
  <si>
    <t>Email là tên đăng nhập và duy nhất. Đổi email thường cần xác thực email mới.</t>
  </si>
  <si>
    <t>A. Không cho đổi email (ô email chỉ đọc).</t>
  </si>
  <si>
    <t>B. Cho đổi, kèm bước gửi mã xác nhận tới email mới.</t>
  </si>
  <si>
    <t>B cần thêm bảng/endpoint xác thực email.</t>
  </si>
  <si>
    <t>D07</t>
  </si>
  <si>
    <t>Ảnh đại diện: upload hay chỉ nhập URL?</t>
  </si>
  <si>
    <t>User.avatar_url lưu đường dẫn ảnh.</t>
  </si>
  <si>
    <t>A. Chỉ nhập URL (làm trước).</t>
  </si>
  <si>
    <t>B. Tải file lên server (cần nơi lưu file, giới hạn dung lượng, định dạng).</t>
  </si>
  <si>
    <t>B làm sau nếu còn thời gian.</t>
  </si>
  <si>
    <t>B</t>
  </si>
  <si>
    <t>D08 Tự quyêt</t>
  </si>
  <si>
    <t>Đăng xuất hoạt động thế nào?</t>
  </si>
  <si>
    <t>POST /api/auth/logout cần có nghĩa cụ thể.</t>
  </si>
  <si>
    <t>A. Token không lưu trạng thái (JWT): đăng xuất = client xóa token, server trả 200.</t>
  </si>
  <si>
    <t>B. Server lưu danh sách token bị thu hồi (cần thêm bảng).</t>
  </si>
  <si>
    <t>B an toàn hơn nhưng thêm bảng và kiểm tra ở mỗi request.</t>
  </si>
  <si>
    <t>D09 Y</t>
  </si>
  <si>
    <t>Có làm quên mật khẩu trong phiên bản đầu không?</t>
  </si>
  <si>
    <t>Cần gửi email thật (SMTP), thêm 2 endpoint và 2 trang giao diện.</t>
  </si>
  <si>
    <t>A. Có làm (T01, T02, T28).</t>
  </si>
  <si>
    <t>B. Hoãn: bỏ bảng PasswordResetToken khỏi bản đầu, ghi vào danh sách làm sau.</t>
  </si>
  <si>
    <t>A nếu còn thời gian</t>
  </si>
  <si>
    <t>Nếu chọn B thì hạ T01, T02 xuống "Tùy chọn" và bỏ model password_reset_token.</t>
  </si>
  <si>
    <t>T01, T02, T28</t>
  </si>
  <si>
    <t>D10 Y</t>
  </si>
  <si>
    <t>Khóa đã completed có cho ôn lại không?</t>
  </si>
  <si>
    <t>completed là trạng thái cuối, nhưng người học có thể muốn luyện lại.</t>
  </si>
  <si>
    <t>A. Không: bắt đầu bài mới trả 409.</t>
  </si>
  <si>
    <t>B. Có: cho làm lại, kết quả mới chỉ lưu thêm vào lịch sử, không đổi completed.</t>
  </si>
  <si>
    <t>B cần bỏ kiểm tra ở T16.</t>
  </si>
  <si>
    <t>D11 không làm</t>
  </si>
  <si>
    <t>Danh sách "Loại phản hồi" (feedback_type)?</t>
  </si>
  <si>
    <t>Ô "Loại phản hồi" trong màn hình góp ý cần danh sách lựa chọn.</t>
  </si>
  <si>
    <t>A. Danh sách cố định theo từng nhóm: khóa học (ví dụ Nội dung bài giảng, Giảng viên, Link khóa học lỗi), hệ thống (Lỗi, Đề xuất tính năng).</t>
  </si>
  <si>
    <t>B. Nhập tự do.</t>
  </si>
  <si>
    <t>Nhóm liệt kê danh sách cụ thể vào cột Ghi chú.</t>
  </si>
  <si>
    <t>Giải thích những chỗ khó</t>
  </si>
  <si>
    <t>Mỗi mục giải thích một chỗ khó bằng lời đơn giản, có ví dụ và các bước làm. Mã G… tương ứng cột "Xem giải thích" ở sheet "Danh sách thay đổi".</t>
  </si>
  <si>
    <t>Chủ đề</t>
  </si>
  <si>
    <t>Vấn đề là gì (nói đơn giản)</t>
  </si>
  <si>
    <t>Ví dụ minh họa</t>
  </si>
  <si>
    <t>Cách xử lý đề xuất (các bước)</t>
  </si>
  <si>
    <t>Ôn tập theo khóa học hay kỹ năng</t>
  </si>
  <si>
    <t>Bài ôn tập kết thúc bằng việc đánh dấu KHÓA HỌC là completed. Nhưng endpoint hiện tại nói về KỸ NĂNG, và bảng ReviewAttempt không có cột skill_id.</t>
  </si>
  <si>
    <t>Khóa "Python for Everybody" dạy 3 kỹ năng: Python, SQL, Cấu trúc dữ liệu.
Học viên gọi POST /api/skills/1/review-attempts (kỹ năng Python) và đạt 85%.
→ Hệ thống ghi một dòng ReviewAttempt nhưng không biết dòng đó thuộc khóa nào, cũng không biết là ôn kỹ năng nào.</t>
  </si>
  <si>
    <t>Đưa course_id lên đường dẫn: POST /api/courses/{course_id}/review-attempts.
Hệ thống tìm StudentCourse của (người dùng, khóa), tạo ReviewAttempt gắn student_course_id, lấy câu hỏi từ các kỹ năng của khóa.
Từ node lộ trình: người dùng chọn kỹ năng → xem khóa gợi ý → tham gia khóa → ôn tập theo khóa.</t>
  </si>
  <si>
    <t>T11, T12, D01</t>
  </si>
  <si>
    <t>Luồng quên mật khẩu</t>
  </si>
  <si>
    <t>Người dùng không đăng nhập được nên phải chứng minh mình sở hữu email. Hệ thống gửi một đường link có mã dùng một lần.</t>
  </si>
  <si>
    <t>Bình nhập email a@x.com → nhận email có link .../reset?token=Ab12… → mở link, nhập mật khẩu mới.</t>
  </si>
  <si>
    <t>1) Bình nhập email → POST /api/auth/forgot-password.
2) Server tạo mã ngẫu nhiên, lưu BẢN BĂM vào PasswordResetToken (hạn 15–30 phút), gửi mã gốc qua email.
3) Server luôn trả cùng thông báo ("Nếu email đúng, bạn sẽ nhận được hướng dẫn").
4) Bình mở link, nhập mật khẩu mới → POST /api/auth/reset-password.
5) Server băm mã nhận được, tìm token_hash khớp, kiểm tra chưa hết hạn và used_at còn trống.
6) Hợp lệ → đổi hashed_password, ghi used_at, vô hiệu mã cũ.
Vì sao lưu bản băm: nếu lộ CSDL, kẻ xấu cũng không dùng được mã.</t>
  </si>
  <si>
    <t>T01, T02, D09</t>
  </si>
  <si>
    <t>Cách gửi dữ liệu cho PATCH /api/me/skills</t>
  </si>
  <si>
    <t>Một PATCH phải làm được ba việc: thêm, sửa, xóa. Nếu không chốt dạng dữ liệu, frontend và backend mỗi bên hiểu một kiểu.</t>
  </si>
  <si>
    <t>Học viên bỏ kỹ năng "SQL", thêm "Docker" (đã biết), đổi "Python" từ learning sang known:
{
 "add": [{"skill_id": 40, "status": "known"}],
 "update": [{"skill_id": 1, "status": "known"}],
 "remove": [2]
}</t>
  </si>
  <si>
    <t>Chạy cả ba việc trong một transaction. Nếu skill_id 40 không tồn tại thì hủy luôn việc sửa và xóa, trả lỗi rõ ràng.
add một kỹ năng đã có → coi như cập nhật, không báo lỗi trùng.</t>
  </si>
  <si>
    <t>Vì sao nộp bài phải dùng transaction</t>
  </si>
  <si>
    <t>Nộp bài làm nhiều việc liên tiếp trên nhiều bảng. Nếu dừng giữa chừng, dữ liệu sẽ mâu thuẫn.</t>
  </si>
  <si>
    <t>Học viên đạt 17/20 = 85%.
Bước 3 đã đánh dấu khóa completed.
Bước 4 ghi UserSkill thì mất kết nối → khóa đã hoàn thành nhưng hồ sơ kỹ năng trống; lộ trình không bao giờ nhận kỹ năng đó.</t>
  </si>
  <si>
    <t>Gói các bước vào một transaction:
1) Ghi ReviewAnswer (selected_index, is_correct).
2) Tính và ghi score_percent, passed.
3) Nếu passed: StudentCourse → completed + completed_at.
4) Upsert UserSkill (known) cho từng kỹ năng của khóa.
5) Gọi hàm kiểm tra hoàn thành lộ trình (T18).
Lỗi ở bất kỳ bước nào → rollback toàn bộ, trả lỗi.</t>
  </si>
  <si>
    <t>T13, T18</t>
  </si>
  <si>
    <t>Chọn 20 câu và tạo sẵn ReviewAnswer</t>
  </si>
  <si>
    <t>Khi bắt đầu bài, server nên quyết định luôn 20 câu nào và lưu lại, thay vì để client tự báo câu nào đã làm.</t>
  </si>
  <si>
    <t>Khóa dạy 3 kỹ năng: Python, SQL, Dữ liệu.
Chọn 7 + 7 + 6 câu ngẫu nhiên (is_active = true), trộn thứ tự.
Ghi 20 dòng ReviewAnswer: position 1…20, selected_index rỗng.</t>
  </si>
  <si>
    <t>1) Gom Question của các kỹ năng khóa dạy (qua CourseSkillRelation).
2) Nếu tổng &lt; 20 → GET .../review trả available = false, lý do "thiếu câu hỏi".
3) Chia đều theo kỹ năng, lấy ngẫu nhiên.
4) Tạo ReviewAttempt + 20 ReviewAnswer trong một transaction.
5) Khi nộp, chỉ chấm đúng 20 dòng đã tạo; câu_id lạ bị bỏ qua hoặc báo lỗi.</t>
  </si>
  <si>
    <t>T14, D04</t>
  </si>
  <si>
    <t>Quản trị câu hỏi và is_active</t>
  </si>
  <si>
    <t>Admin phải thêm/sửa câu hỏi được. Nhưng câu đã xuất hiện trong bài của học viên thì không xóa thẳng được, vì lịch sử ôn tập còn tham chiếu tới nó.</t>
  </si>
  <si>
    <t>Câu #50 đã nằm trong 120 lần làm bài. Admin bấm Xóa → CSDL từ chối (RESTRICT) vì còn 120 dòng ReviewAnswer trỏ tới.</t>
  </si>
  <si>
    <t>Thêm cột is_active.
DELETE /api/admin/questions/{id}:
- Chưa từng dùng → xóa thật.
- Đã dùng → is_active = false: không xuất hiện trong bài mới, nhưng lịch sử cũ vẫn xem được.
Danh sách admin hiển thị số câu còn hoạt động theo kỹ năng để biết kỹ năng nào chưa đủ 20 câu.</t>
  </si>
  <si>
    <t>T19, T20, T26</t>
  </si>
  <si>
    <t>Ràng buộc của bảng Feedback</t>
  </si>
  <si>
    <t>Phản hồi có thể về MỘT KHÓA HỌC hoặc về HỆ THỐNG. Hai trường target_type và course_id phải khớp nhau.</t>
  </si>
  <si>
    <t>Hợp lệ: target_type = course, course_id = 15.
Hợp lệ: target_type = system, course_id = rỗng.
KHÔNG hợp lệ: course nhưng course_id rỗng; hoặc system nhưng có course_id.</t>
  </si>
  <si>
    <t>CSDL đã có CHECK: (target_type = course AND course_id IS NOT NULL) OR (target_type = system AND course_id IS NULL).
Backend kiểm tra cùng quy tắc ở schema để trả lỗi 422 dễ hiểu thay vì lỗi CSDL.</t>
  </si>
  <si>
    <t>Khi nào lộ trình được coi là hoàn thành</t>
  </si>
  <si>
    <t>Lộ trình completed khi mọi nút BẮT BUỘC đã xong (kỹ năng known). Nút tùy chọn không tính.</t>
  </si>
  <si>
    <t>Lộ trình 7 nút: 5 nút is_required = true, 2 nút tùy chọn.
Học viên ôn đạt kỹ năng thứ 5 trong 5 nút bắt buộc → lộ trình chuyển completed dù 2 nút tùy chọn chưa xong.</t>
  </si>
  <si>
    <t>Sau khi UserSkill cập nhật (bước 5 của G4), tìm các LearningPath ongoing của học viên có chứa các kỹ năng vừa đạt; đếm nút is_required chưa known; nếu = 0 thì đặt status = completed.
Dùng cột is_required (đã có ở LearningPathNode).</t>
  </si>
  <si>
    <t>Không lộ đáp án trước khi nộp bài</t>
  </si>
  <si>
    <t>Mọi dữ liệu API trả về đều xem được bằng công cụ nhà phát triển của trình duyệt, kể cả những phần giao diện không hiển thị.</t>
  </si>
  <si>
    <t>Nếu response câu hỏi có {"content": "...", "options": [...], "correct_index": 2} thì ai cũng thấy đáp án đúng là câu 3.</t>
  </si>
  <si>
    <t>Schema trả về khi làm bài chỉ có question_id, content, options, position.
correct_index và explanation chỉ xuất hiện ở GET /api/me/review-history/{attempt_id} SAU KHI đã nộp.
Kiểm thử: gọi GET attempt chưa nộp và kiểm tra response không có hai trường này.</t>
  </si>
  <si>
    <t>Bảng endpoint bản mới (§2, §10 và phần bổ sung)</t>
  </si>
  <si>
    <t>Trạng thái: MỚI = thêm; SỬA = đổi đường dẫn hoặc quy tắc; BỎ = xóa khỏi mục này; Giữ = không đổi. Cột "Đã làm xong": tick khi backend đã chạy được endpoint (và frontend đã gọi).</t>
  </si>
  <si>
    <t>Mục</t>
  </si>
  <si>
    <t>Method</t>
  </si>
  <si>
    <t>Endpoint</t>
  </si>
  <si>
    <t>Trạng thái</t>
  </si>
  <si>
    <t>Mô tả</t>
  </si>
  <si>
    <t>Dữ liệu gửi lên</t>
  </si>
  <si>
    <t>Dữ liệu trả về</t>
  </si>
  <si>
    <t>Lỗi thường gặp</t>
  </si>
  <si>
    <t>Quyền</t>
  </si>
  <si>
    <t>Phụ trách</t>
  </si>
  <si>
    <t>Đã làm xong</t>
  </si>
  <si>
    <t>§2</t>
  </si>
  <si>
    <t>POST</t>
  </si>
  <si>
    <t>/api/auth/register</t>
  </si>
  <si>
    <t>Giữ (bổ sung)</t>
  </si>
  <si>
    <t>Đăng ký tài khoản mới. role luôn là student.</t>
  </si>
  <si>
    <t>email, password, full_name</t>
  </si>
  <si>
    <t>201 + thông tin người dùng</t>
  </si>
  <si>
    <t>409 email đã tồn tại; 422 dữ liệu sai</t>
  </si>
  <si>
    <t>Công khai</t>
  </si>
  <si>
    <t>/api/auth/login</t>
  </si>
  <si>
    <t>Giữ</t>
  </si>
  <si>
    <t>Đăng nhập.</t>
  </si>
  <si>
    <t>email, password</t>
  </si>
  <si>
    <t>200 + access token + thông tin người dùng (gồm role)</t>
  </si>
  <si>
    <t>401 sai thông tin</t>
  </si>
  <si>
    <t>/api/auth/logout</t>
  </si>
  <si>
    <t>Đăng xuất (xem D08).</t>
  </si>
  <si>
    <t>—</t>
  </si>
  <si>
    <t>200</t>
  </si>
  <si>
    <t>401</t>
  </si>
  <si>
    <t>Người dùng</t>
  </si>
  <si>
    <t>/api/auth/forgot-password</t>
  </si>
  <si>
    <t>MỚI</t>
  </si>
  <si>
    <t>Yêu cầu đặt lại mật khẩu qua email.</t>
  </si>
  <si>
    <t>email</t>
  </si>
  <si>
    <t>200 + thông báo chung (luôn giống nhau)</t>
  </si>
  <si>
    <t>422</t>
  </si>
  <si>
    <t>/api/auth/reset-password</t>
  </si>
  <si>
    <t>Đặt mật khẩu mới bằng mã trong email.</t>
  </si>
  <si>
    <t>token, new_password</t>
  </si>
  <si>
    <t>400 mã sai/hết hạn/đã dùng</t>
  </si>
  <si>
    <t>GET</t>
  </si>
  <si>
    <t>/api/me</t>
  </si>
  <si>
    <t>Lấy hồ sơ người dùng đã đăng nhập.</t>
  </si>
  <si>
    <t>user_id, email, full_name, avatar_url, role, created_at</t>
  </si>
  <si>
    <t>PATCH</t>
  </si>
  <si>
    <t>Cập nhật hồ sơ.</t>
  </si>
  <si>
    <t>full_name, avatar_url (không có role, email)</t>
  </si>
  <si>
    <t>200 hồ sơ mới</t>
  </si>
  <si>
    <t>401; 422</t>
  </si>
  <si>
    <t>/api/me/avatar</t>
  </si>
  <si>
    <t>MỚI (tùy chọn)</t>
  </si>
  <si>
    <t>Tải ảnh đại diện lên.</t>
  </si>
  <si>
    <t>file ảnh</t>
  </si>
  <si>
    <t>200 avatar_url</t>
  </si>
  <si>
    <t>413 file quá lớn; 415 sai định dạng</t>
  </si>
  <si>
    <t>/api/me/change-password</t>
  </si>
  <si>
    <t>Đổi mật khẩu khi đã đăng nhập.</t>
  </si>
  <si>
    <t>current_password, new_password</t>
  </si>
  <si>
    <t>400 sai mật khẩu hiện tại</t>
  </si>
  <si>
    <t>/api/me/summary</t>
  </si>
  <si>
    <t>Số liệu tổng hợp cho trang Profile.</t>
  </si>
  <si>
    <t>ongoing_courses, completed_courses, known_skills, ongoing_paths</t>
  </si>
  <si>
    <t>/api/me/skills</t>
  </si>
  <si>
    <t>Giữ (thêm ?status=)</t>
  </si>
  <si>
    <t>Kỹ năng trong hồ sơ.</t>
  </si>
  <si>
    <t>?status=known|learning</t>
  </si>
  <si>
    <t>Danh sách {skill_id, skill, status, updated_at}</t>
  </si>
  <si>
    <t>Giữ (định nghĩa body)</t>
  </si>
  <si>
    <t>Thêm/sửa/xóa kỹ năng trong một transaction.</t>
  </si>
  <si>
    <t>add[], update[], remove[] (xem G3)</t>
  </si>
  <si>
    <t>200 danh sách mới</t>
  </si>
  <si>
    <t>404 skill_id không tồn tại; 422</t>
  </si>
  <si>
    <t>/api/me/courses</t>
  </si>
  <si>
    <t>Khóa học đang theo dõi, mặc định loại abandoned.</t>
  </si>
  <si>
    <t>page, page_size</t>
  </si>
  <si>
    <t>Danh sách khóa + trạng thái</t>
  </si>
  <si>
    <t>/api/me/courses?status=ongoing</t>
  </si>
  <si>
    <t>Khóa đang học.</t>
  </si>
  <si>
    <t>Danh sách</t>
  </si>
  <si>
    <t>/api/me/courses?status=bookmarked</t>
  </si>
  <si>
    <t>Khóa đã lưu.</t>
  </si>
  <si>
    <t>/api/me/courses?status=completed</t>
  </si>
  <si>
    <t>Khóa đã hoàn thành.</t>
  </si>
  <si>
    <t>/api/me/courses?status=abandoned</t>
  </si>
  <si>
    <t>Khóa đã bỏ (xem lịch sử).</t>
  </si>
  <si>
    <t>§10</t>
  </si>
  <si>
    <t>/api/courses/{course_id}/review</t>
  </si>
  <si>
    <t>SỬA</t>
  </si>
  <si>
    <t>Kiểm tra khóa có bài ôn tập khả dụng không.</t>
  </si>
  <si>
    <t>available (true/false), lý do nếu không</t>
  </si>
  <si>
    <t>404 khóa không tồn tại</t>
  </si>
  <si>
    <t>/api/courses/{course_id}/review-attempts</t>
  </si>
  <si>
    <t>Bắt đầu một lần ôn tập: tạo ReviewAttempt + 20 ReviewAnswer.</t>
  </si>
  <si>
    <t>attempt_id + 20 câu (không có đáp án đúng)</t>
  </si>
  <si>
    <t>409 chưa ongoing / đã completed / thiếu câu hỏi</t>
  </si>
  <si>
    <t>/api/review-attempts/{attempt_id}</t>
  </si>
  <si>
    <t>Xem lần làm bài chưa nộp (hoặc kết quả nếu đã nộp).</t>
  </si>
  <si>
    <t>Trạng thái + câu hỏi</t>
  </si>
  <si>
    <t>404 (không phải chủ sở hữu)</t>
  </si>
  <si>
    <t>/api/review-attempts/{attempt_id}/submit</t>
  </si>
  <si>
    <t>Nộp bài, chấm điểm, cập nhật hồ sơ (một transaction). Commit xong trả kết quả ngay, rồi chạy nền gửi email kết quả tới học viên (T29); gửi lỗi không ảnh hưởng kết quả.</t>
  </si>
  <si>
    <t>answers: [{question_id, selected_index}]</t>
  </si>
  <si>
    <t>score_percent, passed, số câu đúng</t>
  </si>
  <si>
    <t>409 đã nộp rồi; 404</t>
  </si>
  <si>
    <t>/api/me/review-history</t>
  </si>
  <si>
    <t>Giữ (thêm bộ lọc)</t>
  </si>
  <si>
    <t>Lịch sử ôn tập.</t>
  </si>
  <si>
    <t>?course_id=, ?passed=, page, page_size</t>
  </si>
  <si>
    <t>Danh sách lần làm</t>
  </si>
  <si>
    <t>/api/me/review-history/{attempt_id}</t>
  </si>
  <si>
    <t>Chi tiết một lần: từng câu, đáp án đã chọn, đáp án đúng, giải thích.</t>
  </si>
  <si>
    <t>Chi tiết (chỉ sau khi nộp)</t>
  </si>
  <si>
    <t>404</t>
  </si>
  <si>
    <t>/api/skills/{skill_id}/review</t>
  </si>
  <si>
    <t>BỎ</t>
  </si>
  <si>
    <t>Thay bằng /api/courses/{course_id}/review.</t>
  </si>
  <si>
    <t>/api/skills/{skill_id}/review-attempts</t>
  </si>
  <si>
    <t>Thay bằng /api/courses/{course_id}/review-attempts.</t>
  </si>
  <si>
    <t>GET/PATCH</t>
  </si>
  <si>
    <t>/api/me/skills (lặp ở §10)</t>
  </si>
  <si>
    <t>Đã có ở §2, xóa khỏi §10.</t>
  </si>
  <si>
    <t>§11</t>
  </si>
  <si>
    <t>/api/admin/questions</t>
  </si>
  <si>
    <t>Danh sách câu hỏi, kèm số câu theo kỹ năng.</t>
  </si>
  <si>
    <t>?skill_id=, page</t>
  </si>
  <si>
    <t>403 không phải admin</t>
  </si>
  <si>
    <t>Admin</t>
  </si>
  <si>
    <t>Thêm câu hỏi.</t>
  </si>
  <si>
    <t>skill_id, content, options[4], correct_index, explanation</t>
  </si>
  <si>
    <t>201</t>
  </si>
  <si>
    <t>422 sai số đáp án / correct_index</t>
  </si>
  <si>
    <t>/api/admin/questions/{question_id}</t>
  </si>
  <si>
    <t>Chi tiết (có đáp án đúng).</t>
  </si>
  <si>
    <t>Câu hỏi đầy đủ</t>
  </si>
  <si>
    <t>Sửa câu hỏi.</t>
  </si>
  <si>
    <t>Các trường cần sửa</t>
  </si>
  <si>
    <t>404; 422</t>
  </si>
  <si>
    <t>DELETE</t>
  </si>
  <si>
    <t>Xóa nếu chưa dùng, ngược lại is_active = false.</t>
  </si>
  <si>
    <t>200 (nêu rõ đã xóa hay vô hiệu hóa)</t>
  </si>
  <si>
    <t>/api/admin/questions/import</t>
  </si>
  <si>
    <t>Nhập hàng loạt từ CSV/JSON.</t>
  </si>
  <si>
    <t>file</t>
  </si>
  <si>
    <t>Báo cáo thành công/lỗi theo dòng</t>
  </si>
  <si>
    <t>Phản hồi</t>
  </si>
  <si>
    <t>/api/feedback</t>
  </si>
  <si>
    <t>Gửi phản hồi về khóa học hoặc hệ thống.</t>
  </si>
  <si>
    <t>target_type, course_id, feedback_type, content</t>
  </si>
  <si>
    <t>422 target_type và course_id không khớp</t>
  </si>
  <si>
    <t>/api/courses/{course_id}/contact</t>
  </si>
  <si>
    <t>Thông tin liên hệ khóa học.</t>
  </si>
  <si>
    <t>instructor, contact_email, contact_phone</t>
  </si>
  <si>
    <t>/api/admin/feedback</t>
  </si>
  <si>
    <t>Admin xem phản hồi.</t>
  </si>
  <si>
    <t>?target_type=, ?course_id=, page</t>
  </si>
  <si>
    <t>403</t>
  </si>
  <si>
    <t>/api/admin/courses/{course_id}/contact</t>
  </si>
  <si>
    <t>Admin nhập/sửa liên hệ khóa học.</t>
  </si>
  <si>
    <t>contact_email, contact_phone</t>
  </si>
  <si>
    <t>404; 403</t>
  </si>
  <si>
    <t>Các file khác bị ảnh hưởng</t>
  </si>
  <si>
    <t>Sau khi nhóm chốt, các tài liệu và file bên dưới cần cập nhật để khớp nhau. Tick ☑ khi đã sửa xong.</t>
  </si>
  <si>
    <t>STT</t>
  </si>
  <si>
    <t>Tài liệu / file</t>
  </si>
  <si>
    <t>Cần sửa gì</t>
  </si>
  <si>
    <t>Đã sửa xong</t>
  </si>
  <si>
    <t>Ghi chú</t>
  </si>
  <si>
    <t>docs/api-endpoints.md</t>
  </si>
  <si>
    <t>Thay §2 và §10 theo sheet Endpoint; thêm câu hỏi vào §11; thêm mục Phản hồi &amp; liên hệ.</t>
  </si>
  <si>
    <t>Tâm Tuấn</t>
  </si>
  <si>
    <t>docs/database-design.md</t>
  </si>
  <si>
    <t>Thêm Question.is_active; ReviewAttempt.submitted_at (nếu chọn); ghi chú cấu hình.</t>
  </si>
  <si>
    <t>STRUCTURE.md (backend)</t>
  </si>
  <si>
    <t>Đổi đường dẫn review sang theo khóa học; thêm routers/admin/questions.py, routers/feedback.py; thêm models review_answer.py, password_reset_token.py, feedback.py, course_contact.py; đổi tên review_question.py → question.py, user_course.py → student_course.py cho khớp CSDL; thêm core/email.py (send_email dùng chung cho quên mật khẩu và email kết quả ôn tập).</t>
  </si>
  <si>
    <t>STRUCTURE.md (frontend)</t>
  </si>
  <si>
    <t>Thêm ForgotPasswordPage, ResetPasswordPage, ChangePasswordForm, AdminQuestionsPage, FeedbackPage; route ôn tập /review/:courseId; thêm feedback.api.js.</t>
  </si>
  <si>
    <t>TASKS.md</t>
  </si>
  <si>
    <t>Hòa: thêm forgot/reset/change-password/avatar/summary. Tuấn: thêm admin questions, đổi review theo khóa học. tâm: nhận feedback và contact.</t>
  </si>
  <si>
    <t>.env.example và SETUP.md</t>
  </si>
  <si>
    <t>Thêm SMTP_*, FRONTEND_URL, RESET_TOKEN_EXPIRE_MINUTES, REVIEW_PASS_PERCENT; hướng dẫn cấu hình email thử (ví dụ dùng dịch vụ SMTP thử nghiệm).</t>
  </si>
  <si>
    <t>init_structure.py</t>
  </si>
  <si>
    <t>Thêm các file mới (routers, models, pages ở trên) rồi chạy lại; script không ghi đè file đã có.</t>
  </si>
  <si>
    <t>Mẫu giao diện Profile</t>
  </si>
  <si>
    <t>Ô email chỉ đọc; thêm nút Đổi mật khẩu; liên kết Quên mật khẩu ở trang đăng nhập.</t>
  </si>
  <si>
    <t>README.md</t>
  </si>
  <si>
    <t>Cập nhật bảng "Tổng quan API" (thêm ôn tập theo khóa học, phản hồi &amp; liên hệ).</t>
  </si>
  <si>
    <t xml:space="preserve"> lưu xong → trả điểm ngay → rồi mới gửi email. Còn chốt: email có kèm đáp án không ( không),( chỉ gửi link Khóa Học nào Đậu/ Rớt + Điểm); gửi mọi lần hay chỉ khi đạt (đề xuất: mọi lần).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</si>
</sst>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
    </font>
    <font>
      <b/>
      <sz val="16"/>
      <color rgb="FF1F4E5F"/>
      <name val="Arial"/>
      <charset val="1"/>
    </font>
    <font>
      <i/>
      <sz val="10"/>
      <color rgb="FF555555"/>
      <name val="Arial"/>
      <charset val="1"/>
    </font>
    <font>
      <b/>
      <sz val="11"/>
      <color rgb="FFFFFFFF"/>
      <name val="Arial"/>
      <charset val="1"/>
    </font>
    <font>
      <sz val="10"/>
      <name val="Arial"/>
      <charset val="1"/>
    </font>
    <font>
      <b/>
      <sz val="10"/>
      <color rgb="FF842029"/>
      <name val="Arial"/>
      <charset val="1"/>
    </font>
    <font>
      <b/>
      <sz val="10"/>
      <color rgb="FF7A5C00"/>
      <name val="Arial"/>
      <charset val="1"/>
    </font>
    <font>
      <b/>
      <sz val="10"/>
      <color rgb="FF41464B"/>
      <name val="Arial"/>
      <charset val="1"/>
    </font>
    <font>
      <b/>
      <sz val="10"/>
      <color rgb="FF0F5132"/>
      <name val="Arial"/>
      <charset val="1"/>
    </font>
    <font>
      <b/>
      <sz val="10"/>
      <color rgb="FF1F4E5F"/>
      <name val="Arial"/>
      <charset val="1"/>
    </font>
    <font>
      <b/>
      <sz val="10"/>
      <name val="Arial"/>
      <charset val="1"/>
    </font>
    <font>
      <i/>
      <sz val="9"/>
      <color rgb="FF555555"/>
      <name val="Arial"/>
      <charset val="1"/>
    </font>
    <font>
      <b/>
      <sz val="15"/>
      <color rgb="FF1F4E5F"/>
      <name val="Arial"/>
      <charset val="1"/>
    </font>
    <font>
      <b/>
      <sz val="10"/>
      <color rgb="FFFFFFFF"/>
      <name val="Arial"/>
      <charset val="1"/>
    </font>
    <font>
      <b/>
      <sz val="14"/>
      <color rgb="FF1F4E5F"/>
      <name val="Arial"/>
      <charset val="1"/>
    </font>
    <font>
      <b/>
      <u/>
      <sz val="10"/>
      <color rgb="FF0563C1"/>
      <name val="Arial"/>
      <charset val="1"/>
    </font>
    <font>
      <sz val="10"/>
      <name val="Arial"/>
      <family val="2"/>
      <charset val="1"/>
    </font>
    <font>
      <sz val="10"/>
      <color rgb="FF0000FF"/>
      <name val="Arial"/>
      <charset val="1"/>
    </font>
    <font>
      <b/>
      <sz val="11"/>
      <color rgb="FF1F4E5F"/>
      <name val="Arial"/>
      <charset val="1"/>
    </font>
    <font>
      <b/>
      <sz val="10"/>
      <name val="Consolas"/>
      <charset val="1"/>
    </font>
  </fonts>
  <fills count="10">
    <fill>
      <patternFill patternType="none"/>
    </fill>
    <fill>
      <patternFill patternType="gray125"/>
    </fill>
    <fill>
      <patternFill patternType="solid">
        <fgColor rgb="FF1F4E5F"/>
        <bgColor rgb="FF0F5132"/>
      </patternFill>
    </fill>
    <fill>
      <patternFill patternType="solid">
        <fgColor rgb="FFF8D7DA"/>
        <bgColor rgb="FFE2E3E5"/>
      </patternFill>
    </fill>
    <fill>
      <patternFill patternType="solid">
        <fgColor rgb="FFFFF3CD"/>
        <bgColor rgb="FFFFF9DB"/>
      </patternFill>
    </fill>
    <fill>
      <patternFill patternType="solid">
        <fgColor rgb="FFE2E3E5"/>
        <bgColor rgb="FFDCE9EE"/>
      </patternFill>
    </fill>
    <fill>
      <patternFill patternType="solid">
        <fgColor rgb="FFD1E7DD"/>
        <bgColor rgb="FFDCE9EE"/>
      </patternFill>
    </fill>
    <fill>
      <patternFill patternType="solid">
        <fgColor rgb="FFFFF9DB"/>
        <bgColor rgb="FFFFF3CD"/>
      </patternFill>
    </fill>
    <fill>
      <patternFill patternType="solid">
        <fgColor rgb="FFDCE9EE"/>
        <bgColor rgb="FFE2E3E5"/>
      </patternFill>
    </fill>
    <fill>
      <patternFill patternType="solid">
        <fgColor rgb="FFF3F7F9"/>
        <bgColor rgb="FFFFFFFF"/>
      </patternFill>
    </fill>
  </fills>
  <borders count="2">
    <border>
      <left/>
      <right/>
      <top/>
      <bottom/>
      <diagonal/>
    </border>
    <border>
      <left style="thin">
        <color rgb="FFB8C4CA"/>
      </left>
      <right style="thin">
        <color rgb="FFB8C4CA"/>
      </right>
      <top style="thin">
        <color rgb="FFB8C4CA"/>
      </top>
      <bottom style="thin">
        <color rgb="FFB8C4CA"/>
      </bottom>
      <diagonal/>
    </border>
  </borders>
  <cellStyleXfs count="1">
    <xf numFmtId="0" fontId="0" fillId="0" borderId="0"/>
  </cellStyleXfs>
  <cellXfs count="34">
    <xf numFmtId="0" fontId="0" fillId="0" borderId="0" xfId="0"/>
    <xf numFmtId="0" fontId="11" fillId="0" borderId="0" xfId="0" applyFont="1" applyAlignment="1">
      <alignment vertical="top" wrapText="1"/>
    </xf>
    <xf numFmtId="0" fontId="4" fillId="0" borderId="0" xfId="0" applyFont="1" applyAlignment="1">
      <alignment vertical="top" wrapText="1"/>
    </xf>
    <xf numFmtId="0" fontId="1" fillId="0" borderId="0" xfId="0" applyFont="1"/>
    <xf numFmtId="0" fontId="2" fillId="0" borderId="0" xfId="0" applyFont="1" applyAlignment="1">
      <alignment vertical="top" wrapText="1"/>
    </xf>
    <xf numFmtId="0" fontId="12" fillId="0" borderId="0" xfId="0" applyFont="1"/>
    <xf numFmtId="0" fontId="3" fillId="2" borderId="0" xfId="0" applyFont="1" applyFill="1"/>
    <xf numFmtId="0" fontId="0" fillId="2" borderId="0" xfId="0" applyFill="1"/>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4" fillId="0" borderId="1" xfId="0" applyFont="1" applyBorder="1"/>
    <xf numFmtId="0" fontId="10" fillId="0" borderId="1" xfId="0" applyFont="1" applyBorder="1" applyAlignment="1">
      <alignment horizontal="center"/>
    </xf>
    <xf numFmtId="9" fontId="10" fillId="0" borderId="1" xfId="0" applyNumberFormat="1" applyFont="1" applyBorder="1" applyAlignment="1">
      <alignment horizontal="center"/>
    </xf>
    <xf numFmtId="0" fontId="4" fillId="0" borderId="1" xfId="0" applyFont="1" applyBorder="1" applyAlignment="1">
      <alignment horizontal="center"/>
    </xf>
    <xf numFmtId="0" fontId="1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14" fillId="7" borderId="1" xfId="0" applyFont="1" applyFill="1" applyBorder="1" applyAlignment="1">
      <alignment horizontal="center" vertical="top" wrapText="1"/>
    </xf>
    <xf numFmtId="0" fontId="4" fillId="7" borderId="1" xfId="0" applyFont="1" applyFill="1" applyBorder="1" applyAlignment="1">
      <alignment vertical="top" wrapText="1"/>
    </xf>
    <xf numFmtId="0" fontId="15" fillId="0" borderId="1" xfId="0" applyFont="1" applyBorder="1" applyAlignment="1">
      <alignment horizontal="center" vertical="top" wrapText="1"/>
    </xf>
    <xf numFmtId="0" fontId="16" fillId="0" borderId="1" xfId="0" applyFont="1" applyBorder="1" applyAlignment="1">
      <alignment vertical="top" wrapText="1"/>
    </xf>
    <xf numFmtId="0" fontId="17" fillId="0" borderId="1" xfId="0" applyFont="1" applyBorder="1" applyAlignment="1">
      <alignment horizontal="center" vertical="top" wrapText="1"/>
    </xf>
    <xf numFmtId="0" fontId="18" fillId="7" borderId="1" xfId="0" applyFont="1" applyFill="1" applyBorder="1" applyAlignment="1">
      <alignment horizontal="center" vertical="top" wrapText="1"/>
    </xf>
    <xf numFmtId="0" fontId="16" fillId="0" borderId="1" xfId="0" applyFont="1" applyBorder="1" applyAlignment="1">
      <alignment horizontal="center" vertical="top" wrapText="1"/>
    </xf>
    <xf numFmtId="0" fontId="10" fillId="0" borderId="1" xfId="0" applyFont="1" applyBorder="1" applyAlignment="1">
      <alignment vertical="top" wrapText="1"/>
    </xf>
    <xf numFmtId="0" fontId="4" fillId="9" borderId="1" xfId="0" applyFont="1" applyFill="1" applyBorder="1" applyAlignment="1">
      <alignment vertical="top" wrapText="1"/>
    </xf>
    <xf numFmtId="0" fontId="19" fillId="0" borderId="1" xfId="0" applyFont="1" applyBorder="1" applyAlignment="1">
      <alignment vertical="top" wrapText="1"/>
    </xf>
    <xf numFmtId="0" fontId="4" fillId="6"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3" borderId="1" xfId="0" applyFont="1" applyFill="1" applyBorder="1" applyAlignment="1">
      <alignment horizontal="center" vertical="top" wrapText="1"/>
    </xf>
  </cellXfs>
  <cellStyles count="1">
    <cellStyle name="Normal" xfId="0" builtinId="0"/>
  </cellStyles>
  <dxfs count="14">
    <dxf>
      <font>
        <color rgb="FF41464B"/>
        <name val="Arial"/>
        <charset val="1"/>
      </font>
      <fill>
        <patternFill>
          <bgColor rgb="FFE2E3E5"/>
        </patternFill>
      </fill>
    </dxf>
    <dxf>
      <font>
        <b/>
        <color rgb="FF7A5C00"/>
        <name val="Arial"/>
        <charset val="1"/>
      </font>
      <fill>
        <patternFill>
          <bgColor rgb="FFFFF3CD"/>
        </patternFill>
      </fill>
    </dxf>
    <dxf>
      <font>
        <b/>
        <color rgb="FF842029"/>
        <name val="Arial"/>
        <charset val="1"/>
      </font>
      <fill>
        <patternFill>
          <bgColor rgb="FFF8D7DA"/>
        </patternFill>
      </fill>
    </dxf>
    <dxf>
      <fill>
        <patternFill>
          <bgColor rgb="FFE3F4E7"/>
        </patternFill>
      </fill>
    </dxf>
    <dxf>
      <fill>
        <patternFill>
          <bgColor rgb="FFE3F4E7"/>
        </patternFill>
      </fill>
    </dxf>
    <dxf>
      <fill>
        <patternFill>
          <bgColor rgb="FFE3F4E7"/>
        </patternFill>
      </fill>
    </dxf>
    <dxf>
      <fill>
        <patternFill>
          <bgColor rgb="FFE3F4E7"/>
        </patternFill>
      </fill>
    </dxf>
    <dxf>
      <font>
        <b/>
        <color rgb="FF842029"/>
        <name val="Arial"/>
        <charset val="1"/>
      </font>
      <fill>
        <patternFill>
          <bgColor rgb="FFF8D7DA"/>
        </patternFill>
      </fill>
    </dxf>
    <dxf>
      <font>
        <b/>
        <color rgb="FF7A5C00"/>
        <name val="Arial"/>
        <charset val="1"/>
      </font>
      <fill>
        <patternFill>
          <bgColor rgb="FFFFF3CD"/>
        </patternFill>
      </fill>
    </dxf>
    <dxf>
      <font>
        <b/>
        <color rgb="FF0F5132"/>
        <name val="Arial"/>
        <charset val="1"/>
      </font>
      <fill>
        <patternFill>
          <bgColor rgb="FFD1E7DD"/>
        </patternFill>
      </fill>
    </dxf>
    <dxf>
      <font>
        <color rgb="FF41464B"/>
        <name val="Arial"/>
        <charset val="1"/>
      </font>
      <fill>
        <patternFill>
          <bgColor rgb="FFE2E3E5"/>
        </patternFill>
      </fill>
    </dxf>
    <dxf>
      <font>
        <b/>
        <color rgb="FF7A5C00"/>
        <name val="Arial"/>
        <charset val="1"/>
      </font>
      <fill>
        <patternFill>
          <bgColor rgb="FFFFF3CD"/>
        </patternFill>
      </fill>
    </dxf>
    <dxf>
      <font>
        <b/>
        <color rgb="FF842029"/>
        <name val="Arial"/>
        <charset val="1"/>
      </font>
      <fill>
        <patternFill>
          <bgColor rgb="FFF8D7DA"/>
        </patternFill>
      </fill>
    </dxf>
    <dxf>
      <fill>
        <patternFill>
          <bgColor rgb="FFE3F4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A5C00"/>
      <rgbColor rgb="FF800080"/>
      <rgbColor rgb="FF2E86AB"/>
      <rgbColor rgb="FFB8C4CA"/>
      <rgbColor rgb="FF808080"/>
      <rgbColor rgb="FF9999FF"/>
      <rgbColor rgb="FF8E44AD"/>
      <rgbColor rgb="FFFFF9DB"/>
      <rgbColor rgb="FFE3F4E7"/>
      <rgbColor rgb="FF660066"/>
      <rgbColor rgb="FFFF8080"/>
      <rgbColor rgb="FF0563C1"/>
      <rgbColor rgb="FFE2E3E5"/>
      <rgbColor rgb="FF000080"/>
      <rgbColor rgb="FFFF00FF"/>
      <rgbColor rgb="FFFFFF00"/>
      <rgbColor rgb="FF00FFFF"/>
      <rgbColor rgb="FF800080"/>
      <rgbColor rgb="FF800000"/>
      <rgbColor rgb="FF008080"/>
      <rgbColor rgb="FF0000FF"/>
      <rgbColor rgb="FF00CCFF"/>
      <rgbColor rgb="FFDCE9EE"/>
      <rgbColor rgb="FFD1E7DD"/>
      <rgbColor rgb="FFFFF3CD"/>
      <rgbColor rgb="FFF3F7F9"/>
      <rgbColor rgb="FFFF99CC"/>
      <rgbColor rgb="FFCC99FF"/>
      <rgbColor rgb="FFF8D7DA"/>
      <rgbColor rgb="FF3366FF"/>
      <rgbColor rgb="FF33CCCC"/>
      <rgbColor rgb="FF99CC00"/>
      <rgbColor rgb="FFFFCC00"/>
      <rgbColor rgb="FFFF9900"/>
      <rgbColor rgb="FFE67E22"/>
      <rgbColor rgb="FF555555"/>
      <rgbColor rgb="FF969696"/>
      <rgbColor rgb="FF1F4E5F"/>
      <rgbColor rgb="FF27AE60"/>
      <rgbColor rgb="FF0F5132"/>
      <rgbColor rgb="FF333300"/>
      <rgbColor rgb="FF842029"/>
      <rgbColor rgb="FFC0392B"/>
      <rgbColor rgb="FF333399"/>
      <rgbColor rgb="FF41464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5F"/>
  </sheetPr>
  <dimension ref="A1:G49"/>
  <sheetViews>
    <sheetView showGridLines="0" topLeftCell="A13" zoomScaleNormal="100" workbookViewId="0"/>
  </sheetViews>
  <sheetFormatPr defaultColWidth="8.6640625" defaultRowHeight="14.4" x14ac:dyDescent="0.3"/>
  <cols>
    <col min="1" max="1" width="34" customWidth="1"/>
    <col min="2" max="4" width="16" customWidth="1"/>
    <col min="5" max="5" width="4" customWidth="1"/>
    <col min="6" max="6" width="40" customWidth="1"/>
    <col min="7" max="7" width="14" customWidth="1"/>
  </cols>
  <sheetData>
    <row r="1" spans="1:7" ht="27.75" customHeight="1" x14ac:dyDescent="0.4">
      <c r="A1" s="3" t="s">
        <v>0</v>
      </c>
      <c r="B1" s="3"/>
      <c r="C1" s="3"/>
      <c r="D1" s="3"/>
      <c r="E1" s="3"/>
      <c r="F1" s="3"/>
      <c r="G1" s="3"/>
    </row>
    <row r="2" spans="1:7" ht="30" customHeight="1" x14ac:dyDescent="0.3">
      <c r="A2" s="4" t="s">
        <v>1</v>
      </c>
      <c r="B2" s="4"/>
      <c r="C2" s="4"/>
      <c r="D2" s="4"/>
      <c r="E2" s="4"/>
      <c r="F2" s="4"/>
      <c r="G2" s="4"/>
    </row>
    <row r="4" spans="1:7" x14ac:dyDescent="0.3">
      <c r="A4" s="6" t="s">
        <v>2</v>
      </c>
      <c r="B4" s="7"/>
      <c r="C4" s="7"/>
      <c r="D4" s="7"/>
    </row>
    <row r="5" spans="1:7" ht="18" customHeight="1" x14ac:dyDescent="0.3">
      <c r="A5" s="2" t="s">
        <v>3</v>
      </c>
      <c r="B5" s="2"/>
      <c r="C5" s="2"/>
      <c r="D5" s="2"/>
      <c r="E5" s="2"/>
      <c r="F5" s="2"/>
      <c r="G5" s="2"/>
    </row>
    <row r="6" spans="1:7" ht="18" customHeight="1" x14ac:dyDescent="0.3">
      <c r="A6" s="2" t="s">
        <v>4</v>
      </c>
      <c r="B6" s="2"/>
      <c r="C6" s="2"/>
      <c r="D6" s="2"/>
      <c r="E6" s="2"/>
      <c r="F6" s="2"/>
      <c r="G6" s="2"/>
    </row>
    <row r="7" spans="1:7" ht="18" customHeight="1" x14ac:dyDescent="0.3">
      <c r="A7" s="2" t="s">
        <v>5</v>
      </c>
      <c r="B7" s="2"/>
      <c r="C7" s="2"/>
      <c r="D7" s="2"/>
      <c r="E7" s="2"/>
      <c r="F7" s="2"/>
      <c r="G7" s="2"/>
    </row>
    <row r="8" spans="1:7" ht="18" customHeight="1" x14ac:dyDescent="0.3">
      <c r="A8" s="2" t="s">
        <v>6</v>
      </c>
      <c r="B8" s="2"/>
      <c r="C8" s="2"/>
      <c r="D8" s="2"/>
      <c r="E8" s="2"/>
      <c r="F8" s="2"/>
      <c r="G8" s="2"/>
    </row>
    <row r="9" spans="1:7" ht="18" customHeight="1" x14ac:dyDescent="0.3">
      <c r="A9" s="2" t="s">
        <v>7</v>
      </c>
      <c r="B9" s="2"/>
      <c r="C9" s="2"/>
      <c r="D9" s="2"/>
      <c r="E9" s="2"/>
      <c r="F9" s="2"/>
      <c r="G9" s="2"/>
    </row>
    <row r="11" spans="1:7" x14ac:dyDescent="0.3">
      <c r="A11" s="6" t="s">
        <v>8</v>
      </c>
      <c r="B11" s="7"/>
      <c r="C11" s="7"/>
      <c r="D11" s="7"/>
    </row>
    <row r="12" spans="1:7" ht="18" customHeight="1" x14ac:dyDescent="0.3">
      <c r="A12" s="8" t="s">
        <v>9</v>
      </c>
      <c r="B12" s="2" t="s">
        <v>10</v>
      </c>
      <c r="C12" s="2"/>
      <c r="D12" s="2"/>
      <c r="E12" s="2"/>
      <c r="F12" s="2"/>
      <c r="G12" s="2"/>
    </row>
    <row r="13" spans="1:7" ht="18" customHeight="1" x14ac:dyDescent="0.3">
      <c r="A13" s="9" t="s">
        <v>11</v>
      </c>
      <c r="B13" s="2" t="s">
        <v>12</v>
      </c>
      <c r="C13" s="2"/>
      <c r="D13" s="2"/>
      <c r="E13" s="2"/>
      <c r="F13" s="2"/>
      <c r="G13" s="2"/>
    </row>
    <row r="14" spans="1:7" ht="18" customHeight="1" x14ac:dyDescent="0.3">
      <c r="A14" s="10" t="s">
        <v>13</v>
      </c>
      <c r="B14" s="2" t="s">
        <v>14</v>
      </c>
      <c r="C14" s="2"/>
      <c r="D14" s="2"/>
      <c r="E14" s="2"/>
      <c r="F14" s="2"/>
      <c r="G14" s="2"/>
    </row>
    <row r="15" spans="1:7" ht="18" customHeight="1" x14ac:dyDescent="0.3">
      <c r="A15" s="11" t="s">
        <v>15</v>
      </c>
      <c r="B15" s="2" t="s">
        <v>16</v>
      </c>
      <c r="C15" s="2"/>
      <c r="D15" s="2"/>
      <c r="E15" s="2"/>
      <c r="F15" s="2"/>
      <c r="G15" s="2"/>
    </row>
    <row r="16" spans="1:7" ht="18" customHeight="1" x14ac:dyDescent="0.3">
      <c r="A16" s="12" t="s">
        <v>17</v>
      </c>
      <c r="B16" s="2" t="s">
        <v>18</v>
      </c>
      <c r="C16" s="2"/>
      <c r="D16" s="2"/>
      <c r="E16" s="2"/>
      <c r="F16" s="2"/>
      <c r="G16" s="2"/>
    </row>
    <row r="18" spans="1:4" x14ac:dyDescent="0.3">
      <c r="A18" s="6" t="s">
        <v>19</v>
      </c>
      <c r="B18" s="7"/>
      <c r="C18" s="7"/>
      <c r="D18" s="7"/>
    </row>
    <row r="19" spans="1:4" x14ac:dyDescent="0.3">
      <c r="A19" s="13" t="s">
        <v>20</v>
      </c>
      <c r="B19" s="13" t="s">
        <v>21</v>
      </c>
      <c r="C19" s="13" t="s">
        <v>22</v>
      </c>
    </row>
    <row r="20" spans="1:4" x14ac:dyDescent="0.3">
      <c r="A20" s="14" t="s">
        <v>23</v>
      </c>
      <c r="B20" s="15">
        <f>COUNTA('Danh sách thay đổi'!$A$5:$A$33)</f>
        <v>29</v>
      </c>
      <c r="C20" s="16"/>
    </row>
    <row r="21" spans="1:4" x14ac:dyDescent="0.3">
      <c r="A21" s="14" t="s">
        <v>24</v>
      </c>
      <c r="B21" s="15">
        <f>COUNTIF('Danh sách thay đổi'!$J$5:$J$33,"☑")</f>
        <v>21</v>
      </c>
      <c r="C21" s="16">
        <f>IFERROR(B21/B20,0)</f>
        <v>0.72413793103448276</v>
      </c>
    </row>
    <row r="22" spans="1:4" x14ac:dyDescent="0.3">
      <c r="A22" s="14" t="s">
        <v>25</v>
      </c>
      <c r="B22" s="15">
        <f>COUNTIF('Danh sách thay đổi'!$K$5:$K$33,"☑")</f>
        <v>0</v>
      </c>
      <c r="C22" s="16">
        <f>IFERROR(B22/B20,0)</f>
        <v>0</v>
      </c>
    </row>
    <row r="23" spans="1:4" x14ac:dyDescent="0.3">
      <c r="A23" s="14" t="s">
        <v>26</v>
      </c>
      <c r="B23" s="15">
        <f>COUNTIFS('Danh sách thay đổi'!$G$5:$G$33,"Bắt buộc",'Danh sách thay đổi'!$J$5:$J$33,"☐")</f>
        <v>4</v>
      </c>
      <c r="C23" s="16"/>
    </row>
    <row r="24" spans="1:4" x14ac:dyDescent="0.3">
      <c r="A24" s="14" t="s">
        <v>27</v>
      </c>
      <c r="B24" s="15">
        <f>COUNTIFS('Danh sách thay đổi'!$H$5:$H$33,"Khó",'Danh sách thay đổi'!$J$5:$J$33,"☐")</f>
        <v>1</v>
      </c>
      <c r="C24" s="16"/>
    </row>
    <row r="25" spans="1:4" x14ac:dyDescent="0.3">
      <c r="A25" s="14" t="s">
        <v>28</v>
      </c>
      <c r="B25" s="15">
        <f>COUNTA('Quyết định cần chốt'!$A$5:$A$15)</f>
        <v>11</v>
      </c>
      <c r="C25" s="16"/>
    </row>
    <row r="26" spans="1:4" x14ac:dyDescent="0.3">
      <c r="A26" s="14" t="s">
        <v>29</v>
      </c>
      <c r="B26" s="15">
        <f>COUNTIF('Quyết định cần chốt'!$I$5:$I$15,"☑")</f>
        <v>11</v>
      </c>
      <c r="C26" s="16">
        <f>IFERROR(B26/B25,0)</f>
        <v>1</v>
      </c>
    </row>
    <row r="27" spans="1:4" x14ac:dyDescent="0.3">
      <c r="A27" s="14" t="s">
        <v>30</v>
      </c>
      <c r="B27" s="15">
        <f>COUNTA('File cần sửa'!$B$5:$B$13)</f>
        <v>9</v>
      </c>
      <c r="C27" s="16"/>
    </row>
    <row r="28" spans="1:4" x14ac:dyDescent="0.3">
      <c r="A28" s="14" t="s">
        <v>31</v>
      </c>
      <c r="B28" s="15">
        <f>COUNTIF('File cần sửa'!$F$5:$F$13,"☑")</f>
        <v>0</v>
      </c>
      <c r="C28" s="16">
        <f>IFERROR(B28/B27,0)</f>
        <v>0</v>
      </c>
    </row>
    <row r="29" spans="1:4" x14ac:dyDescent="0.3">
      <c r="A29" s="14" t="s">
        <v>32</v>
      </c>
      <c r="B29" s="15">
        <f>COUNTIF('Endpoint (bản mới)'!$K$5:$K$40,"☑")</f>
        <v>0</v>
      </c>
      <c r="C29" s="16">
        <f>IFERROR(B29/COUNTA('Endpoint (bản mới)'!$C$5:$C$40),0)</f>
        <v>0</v>
      </c>
    </row>
    <row r="31" spans="1:4" x14ac:dyDescent="0.3">
      <c r="A31" s="6" t="s">
        <v>33</v>
      </c>
      <c r="B31" s="7"/>
      <c r="C31" s="7"/>
      <c r="D31" s="7"/>
    </row>
    <row r="32" spans="1:4" x14ac:dyDescent="0.3">
      <c r="A32" s="13" t="s">
        <v>34</v>
      </c>
      <c r="B32" s="13" t="s">
        <v>35</v>
      </c>
      <c r="C32" s="13" t="s">
        <v>36</v>
      </c>
      <c r="D32" s="13" t="s">
        <v>37</v>
      </c>
    </row>
    <row r="33" spans="1:4" x14ac:dyDescent="0.3">
      <c r="A33" s="14" t="s">
        <v>9</v>
      </c>
      <c r="B33" s="17">
        <f>COUNTIF('Danh sách thay đổi'!$G$5:$G$33,"Bắt buộc")</f>
        <v>15</v>
      </c>
      <c r="C33" s="17">
        <f>COUNTIFS('Danh sách thay đổi'!$G$5:$G$33,"Bắt buộc",'Danh sách thay đổi'!$J$5:$J$33,"☑")</f>
        <v>11</v>
      </c>
      <c r="D33" s="17">
        <f>COUNTIFS('Danh sách thay đổi'!$G$5:$G$33,"Bắt buộc",'Danh sách thay đổi'!$K$5:$K$33,"☑")</f>
        <v>0</v>
      </c>
    </row>
    <row r="34" spans="1:4" x14ac:dyDescent="0.3">
      <c r="A34" s="14" t="s">
        <v>11</v>
      </c>
      <c r="B34" s="17">
        <f>COUNTIF('Danh sách thay đổi'!$G$5:$G$33,"Nên có")</f>
        <v>11</v>
      </c>
      <c r="C34" s="17">
        <f>COUNTIFS('Danh sách thay đổi'!$G$5:$G$33,"Nên có",'Danh sách thay đổi'!$J$5:$J$33,"☑")</f>
        <v>8</v>
      </c>
      <c r="D34" s="17">
        <f>COUNTIFS('Danh sách thay đổi'!$G$5:$G$33,"Nên có",'Danh sách thay đổi'!$K$5:$K$33,"☑")</f>
        <v>0</v>
      </c>
    </row>
    <row r="35" spans="1:4" x14ac:dyDescent="0.3">
      <c r="A35" s="14" t="s">
        <v>13</v>
      </c>
      <c r="B35" s="17">
        <f>COUNTIF('Danh sách thay đổi'!$G$5:$G$33,"Tùy chọn")</f>
        <v>3</v>
      </c>
      <c r="C35" s="17">
        <f>COUNTIFS('Danh sách thay đổi'!$G$5:$G$33,"Tùy chọn",'Danh sách thay đổi'!$J$5:$J$33,"☑")</f>
        <v>2</v>
      </c>
      <c r="D35" s="17">
        <f>COUNTIFS('Danh sách thay đổi'!$G$5:$G$33,"Tùy chọn",'Danh sách thay đổi'!$K$5:$K$33,"☑")</f>
        <v>0</v>
      </c>
    </row>
    <row r="37" spans="1:4" x14ac:dyDescent="0.3">
      <c r="A37" s="6" t="s">
        <v>38</v>
      </c>
      <c r="B37" s="7"/>
      <c r="C37" s="7"/>
      <c r="D37" s="7"/>
    </row>
    <row r="38" spans="1:4" x14ac:dyDescent="0.3">
      <c r="A38" s="13" t="s">
        <v>39</v>
      </c>
      <c r="B38" s="13" t="s">
        <v>35</v>
      </c>
      <c r="C38" s="13" t="s">
        <v>36</v>
      </c>
      <c r="D38" s="13" t="s">
        <v>37</v>
      </c>
    </row>
    <row r="39" spans="1:4" x14ac:dyDescent="0.3">
      <c r="A39" s="14" t="s">
        <v>40</v>
      </c>
      <c r="B39" s="17">
        <f>COUNTIF('Danh sách thay đổi'!$H$5:$H$33,"Dễ")</f>
        <v>19</v>
      </c>
      <c r="C39" s="17">
        <f>COUNTIFS('Danh sách thay đổi'!$H$5:$H$33,"Dễ",'Danh sách thay đổi'!$J$5:$J$33,"☑")</f>
        <v>12</v>
      </c>
      <c r="D39" s="17">
        <f>COUNTIFS('Danh sách thay đổi'!$H$5:$H$33,"Dễ",'Danh sách thay đổi'!$K$5:$K$33,"☑")</f>
        <v>0</v>
      </c>
    </row>
    <row r="40" spans="1:4" x14ac:dyDescent="0.3">
      <c r="A40" s="14" t="s">
        <v>41</v>
      </c>
      <c r="B40" s="17">
        <f>COUNTIF('Danh sách thay đổi'!$H$5:$H$33,"Trung bình")</f>
        <v>7</v>
      </c>
      <c r="C40" s="17">
        <f>COUNTIFS('Danh sách thay đổi'!$H$5:$H$33,"Trung bình",'Danh sách thay đổi'!$J$5:$J$33,"☑")</f>
        <v>7</v>
      </c>
      <c r="D40" s="17">
        <f>COUNTIFS('Danh sách thay đổi'!$H$5:$H$33,"Trung bình",'Danh sách thay đổi'!$K$5:$K$33,"☑")</f>
        <v>0</v>
      </c>
    </row>
    <row r="41" spans="1:4" x14ac:dyDescent="0.3">
      <c r="A41" s="14" t="s">
        <v>42</v>
      </c>
      <c r="B41" s="17">
        <f>COUNTIF('Danh sách thay đổi'!$H$5:$H$33,"Khó")</f>
        <v>3</v>
      </c>
      <c r="C41" s="17">
        <f>COUNTIFS('Danh sách thay đổi'!$H$5:$H$33,"Khó",'Danh sách thay đổi'!$J$5:$J$33,"☑")</f>
        <v>2</v>
      </c>
      <c r="D41" s="17">
        <f>COUNTIFS('Danh sách thay đổi'!$H$5:$H$33,"Khó",'Danh sách thay đổi'!$K$5:$K$33,"☑")</f>
        <v>0</v>
      </c>
    </row>
    <row r="43" spans="1:4" x14ac:dyDescent="0.3">
      <c r="A43" s="6" t="s">
        <v>43</v>
      </c>
      <c r="B43" s="7"/>
      <c r="C43" s="7"/>
      <c r="D43" s="7"/>
    </row>
    <row r="44" spans="1:4" x14ac:dyDescent="0.3">
      <c r="A44" s="13" t="s">
        <v>44</v>
      </c>
      <c r="B44" s="13" t="s">
        <v>35</v>
      </c>
      <c r="C44" s="13" t="s">
        <v>36</v>
      </c>
      <c r="D44" s="13" t="s">
        <v>37</v>
      </c>
    </row>
    <row r="45" spans="1:4" x14ac:dyDescent="0.3">
      <c r="A45" s="14" t="s">
        <v>45</v>
      </c>
      <c r="B45" s="17">
        <f>COUNTIF('Danh sách thay đổi'!$I$5:$I$33,"*Hòa*")</f>
        <v>1</v>
      </c>
      <c r="C45" s="17">
        <f>COUNTIFS('Danh sách thay đổi'!$I$5:$I$33,"*Hòa*",'Danh sách thay đổi'!$J$5:$J$33,"☑")</f>
        <v>1</v>
      </c>
      <c r="D45" s="17">
        <f>COUNTIFS('Danh sách thay đổi'!$I$5:$I$33,"*Hòa*",'Danh sách thay đổi'!$K$5:$K$33,"☑")</f>
        <v>0</v>
      </c>
    </row>
    <row r="46" spans="1:4" x14ac:dyDescent="0.3">
      <c r="A46" s="14" t="s">
        <v>46</v>
      </c>
      <c r="B46" s="17">
        <f>COUNTIF('Danh sách thay đổi'!$I$5:$I$33,"*Tuấn*")</f>
        <v>24</v>
      </c>
      <c r="C46" s="17">
        <f>COUNTIFS('Danh sách thay đổi'!$I$5:$I$33,"*Tuấn*",'Danh sách thay đổi'!$J$5:$J$33,"☑")</f>
        <v>21</v>
      </c>
      <c r="D46" s="17">
        <f>COUNTIFS('Danh sách thay đổi'!$I$5:$I$33,"*Tuấn*",'Danh sách thay đổi'!$K$5:$K$33,"☑")</f>
        <v>0</v>
      </c>
    </row>
    <row r="47" spans="1:4" x14ac:dyDescent="0.3">
      <c r="A47" s="14" t="s">
        <v>47</v>
      </c>
      <c r="B47" s="17">
        <f>COUNTIF('Danh sách thay đổi'!$I$5:$I$33,"*Tâm*")</f>
        <v>6</v>
      </c>
      <c r="C47" s="17">
        <f>COUNTIFS('Danh sách thay đổi'!$I$5:$I$33,"*Tâm*",'Danh sách thay đổi'!$J$5:$J$33,"☑")</f>
        <v>1</v>
      </c>
      <c r="D47" s="17">
        <f>COUNTIFS('Danh sách thay đổi'!$I$5:$I$33,"*Tâm*",'Danh sách thay đổi'!$K$5:$K$33,"☑")</f>
        <v>0</v>
      </c>
    </row>
    <row r="48" spans="1:4" x14ac:dyDescent="0.3">
      <c r="A48" s="14" t="s">
        <v>48</v>
      </c>
      <c r="B48" s="17">
        <f>COUNTIF('Danh sách thay đổi'!$I$5:$I$33,"*Khôi*")</f>
        <v>0</v>
      </c>
      <c r="C48" s="17">
        <f>COUNTIFS('Danh sách thay đổi'!$I$5:$I$33,"*Khôi*",'Danh sách thay đổi'!$J$5:$J$33,"☑")</f>
        <v>0</v>
      </c>
      <c r="D48" s="17">
        <f>COUNTIFS('Danh sách thay đổi'!$I$5:$I$33,"*Khôi*",'Danh sách thay đổi'!$K$5:$K$33,"☑")</f>
        <v>0</v>
      </c>
    </row>
    <row r="49" spans="1:7" ht="27.75" customHeight="1" x14ac:dyDescent="0.3">
      <c r="A49" s="1" t="s">
        <v>49</v>
      </c>
      <c r="B49" s="1"/>
      <c r="C49" s="1"/>
      <c r="D49" s="1"/>
      <c r="E49" s="1"/>
      <c r="F49" s="1"/>
      <c r="G49" s="1"/>
    </row>
  </sheetData>
  <mergeCells count="13">
    <mergeCell ref="B15:G15"/>
    <mergeCell ref="B16:G16"/>
    <mergeCell ref="A49:G49"/>
    <mergeCell ref="A8:G8"/>
    <mergeCell ref="A9:G9"/>
    <mergeCell ref="B12:G12"/>
    <mergeCell ref="B13:G13"/>
    <mergeCell ref="B14:G14"/>
    <mergeCell ref="A1:G1"/>
    <mergeCell ref="A2:G2"/>
    <mergeCell ref="A5:G5"/>
    <mergeCell ref="A6:G6"/>
    <mergeCell ref="A7:G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392B"/>
    <pageSetUpPr fitToPage="1"/>
  </sheetPr>
  <dimension ref="A1:M33"/>
  <sheetViews>
    <sheetView tabSelected="1" zoomScaleNormal="100" workbookViewId="0">
      <pane xSplit="3" ySplit="4" topLeftCell="E33" activePane="bottomRight" state="frozen"/>
      <selection pane="topRight" activeCell="D1" sqref="D1"/>
      <selection pane="bottomLeft" activeCell="A5" sqref="A5"/>
      <selection pane="bottomRight" activeCell="C33" sqref="C33"/>
    </sheetView>
  </sheetViews>
  <sheetFormatPr defaultColWidth="8.6640625" defaultRowHeight="14.4" x14ac:dyDescent="0.3"/>
  <cols>
    <col min="1" max="1" width="7" customWidth="1"/>
    <col min="2" max="2" width="16" customWidth="1"/>
    <col min="3" max="3" width="34" customWidth="1"/>
    <col min="4" max="4" width="11" customWidth="1"/>
    <col min="5" max="5" width="60" customWidth="1"/>
    <col min="6" max="6" width="42" customWidth="1"/>
    <col min="7" max="7" width="11" customWidth="1"/>
    <col min="8" max="8" width="12" customWidth="1"/>
    <col min="9" max="9" width="14" customWidth="1"/>
    <col min="10" max="11" width="11" customWidth="1"/>
    <col min="12" max="12" width="28" customWidth="1"/>
    <col min="13" max="13" width="11" customWidth="1"/>
  </cols>
  <sheetData>
    <row r="1" spans="1:13" ht="25.5" customHeight="1" x14ac:dyDescent="0.35">
      <c r="A1" s="5" t="s">
        <v>50</v>
      </c>
      <c r="B1" s="5"/>
      <c r="C1" s="5"/>
      <c r="D1" s="5"/>
      <c r="E1" s="5"/>
      <c r="F1" s="5"/>
      <c r="G1" s="5"/>
      <c r="H1" s="5"/>
      <c r="I1" s="5"/>
      <c r="J1" s="5"/>
      <c r="K1" s="5"/>
      <c r="L1" s="5"/>
      <c r="M1" s="5"/>
    </row>
    <row r="2" spans="1:13" ht="43.5" customHeight="1" x14ac:dyDescent="0.3">
      <c r="A2" s="4" t="s">
        <v>51</v>
      </c>
      <c r="B2" s="4"/>
      <c r="C2" s="4"/>
      <c r="D2" s="4"/>
      <c r="E2" s="4"/>
      <c r="F2" s="4"/>
      <c r="G2" s="4"/>
      <c r="H2" s="4"/>
      <c r="I2" s="4"/>
      <c r="J2" s="4"/>
      <c r="K2" s="4"/>
      <c r="L2" s="4"/>
      <c r="M2" s="4"/>
    </row>
    <row r="4" spans="1:13" ht="33.75" customHeight="1" x14ac:dyDescent="0.3">
      <c r="A4" s="18" t="s">
        <v>52</v>
      </c>
      <c r="B4" s="18" t="s">
        <v>53</v>
      </c>
      <c r="C4" s="18" t="s">
        <v>54</v>
      </c>
      <c r="D4" s="18" t="s">
        <v>55</v>
      </c>
      <c r="E4" s="18" t="s">
        <v>56</v>
      </c>
      <c r="F4" s="18" t="s">
        <v>57</v>
      </c>
      <c r="G4" s="18" t="s">
        <v>34</v>
      </c>
      <c r="H4" s="18" t="s">
        <v>39</v>
      </c>
      <c r="I4" s="18" t="s">
        <v>58</v>
      </c>
      <c r="J4" s="18" t="s">
        <v>59</v>
      </c>
      <c r="K4" s="18" t="s">
        <v>60</v>
      </c>
      <c r="L4" s="18" t="s">
        <v>61</v>
      </c>
      <c r="M4" s="18" t="s">
        <v>62</v>
      </c>
    </row>
    <row r="5" spans="1:13" ht="98.25" customHeight="1" x14ac:dyDescent="0.3">
      <c r="A5" s="19" t="s">
        <v>63</v>
      </c>
      <c r="B5" s="20" t="s">
        <v>64</v>
      </c>
      <c r="C5" s="20" t="s">
        <v>65</v>
      </c>
      <c r="D5" s="19" t="s">
        <v>66</v>
      </c>
      <c r="E5" s="20" t="s">
        <v>67</v>
      </c>
      <c r="F5" s="20" t="s">
        <v>68</v>
      </c>
      <c r="G5" s="19" t="s">
        <v>9</v>
      </c>
      <c r="H5" s="19" t="s">
        <v>42</v>
      </c>
      <c r="I5" s="19" t="s">
        <v>46</v>
      </c>
      <c r="J5" s="21" t="s">
        <v>69</v>
      </c>
      <c r="K5" s="21" t="s">
        <v>70</v>
      </c>
      <c r="L5" s="22" t="s">
        <v>71</v>
      </c>
      <c r="M5" s="23" t="s">
        <v>72</v>
      </c>
    </row>
    <row r="6" spans="1:13" ht="72" customHeight="1" x14ac:dyDescent="0.3">
      <c r="A6" s="19" t="s">
        <v>73</v>
      </c>
      <c r="B6" s="20" t="s">
        <v>64</v>
      </c>
      <c r="C6" s="20" t="s">
        <v>74</v>
      </c>
      <c r="D6" s="19" t="s">
        <v>66</v>
      </c>
      <c r="E6" s="20" t="s">
        <v>75</v>
      </c>
      <c r="F6" s="20" t="s">
        <v>76</v>
      </c>
      <c r="G6" s="19" t="s">
        <v>9</v>
      </c>
      <c r="H6" s="19" t="s">
        <v>41</v>
      </c>
      <c r="I6" s="19" t="s">
        <v>46</v>
      </c>
      <c r="J6" s="21" t="s">
        <v>69</v>
      </c>
      <c r="K6" s="21" t="s">
        <v>70</v>
      </c>
      <c r="L6" s="22"/>
      <c r="M6" s="23" t="s">
        <v>72</v>
      </c>
    </row>
    <row r="7" spans="1:13" ht="58.5" customHeight="1" x14ac:dyDescent="0.3">
      <c r="A7" s="19" t="s">
        <v>77</v>
      </c>
      <c r="B7" s="20" t="s">
        <v>64</v>
      </c>
      <c r="C7" s="20" t="s">
        <v>78</v>
      </c>
      <c r="D7" s="19" t="s">
        <v>66</v>
      </c>
      <c r="E7" s="20" t="s">
        <v>79</v>
      </c>
      <c r="F7" s="20" t="s">
        <v>80</v>
      </c>
      <c r="G7" s="19" t="s">
        <v>11</v>
      </c>
      <c r="H7" s="19" t="s">
        <v>40</v>
      </c>
      <c r="I7" s="19" t="s">
        <v>46</v>
      </c>
      <c r="J7" s="21" t="s">
        <v>69</v>
      </c>
      <c r="K7" s="21" t="s">
        <v>70</v>
      </c>
      <c r="L7" s="22"/>
      <c r="M7" s="19"/>
    </row>
    <row r="8" spans="1:13" ht="58.5" customHeight="1" x14ac:dyDescent="0.3">
      <c r="A8" s="19" t="s">
        <v>81</v>
      </c>
      <c r="B8" s="20" t="s">
        <v>64</v>
      </c>
      <c r="C8" s="20" t="s">
        <v>82</v>
      </c>
      <c r="D8" s="19" t="s">
        <v>66</v>
      </c>
      <c r="E8" s="20" t="s">
        <v>83</v>
      </c>
      <c r="F8" s="20" t="s">
        <v>84</v>
      </c>
      <c r="G8" s="19" t="s">
        <v>13</v>
      </c>
      <c r="H8" s="19" t="s">
        <v>41</v>
      </c>
      <c r="I8" s="19" t="s">
        <v>46</v>
      </c>
      <c r="J8" s="21" t="s">
        <v>69</v>
      </c>
      <c r="K8" s="21" t="s">
        <v>70</v>
      </c>
      <c r="L8" s="22" t="s">
        <v>85</v>
      </c>
      <c r="M8" s="19"/>
    </row>
    <row r="9" spans="1:13" ht="72" customHeight="1" x14ac:dyDescent="0.3">
      <c r="A9" s="19" t="s">
        <v>86</v>
      </c>
      <c r="B9" s="20" t="s">
        <v>87</v>
      </c>
      <c r="C9" s="20" t="s">
        <v>88</v>
      </c>
      <c r="D9" s="19" t="s">
        <v>66</v>
      </c>
      <c r="E9" s="24" t="s">
        <v>89</v>
      </c>
      <c r="F9" s="20" t="s">
        <v>90</v>
      </c>
      <c r="G9" s="19" t="s">
        <v>11</v>
      </c>
      <c r="H9" s="19" t="s">
        <v>40</v>
      </c>
      <c r="I9" s="19" t="s">
        <v>46</v>
      </c>
      <c r="J9" s="21" t="s">
        <v>69</v>
      </c>
      <c r="K9" s="21" t="s">
        <v>70</v>
      </c>
      <c r="L9" s="22" t="s">
        <v>91</v>
      </c>
      <c r="M9" s="19"/>
    </row>
    <row r="10" spans="1:13" ht="111" customHeight="1" x14ac:dyDescent="0.3">
      <c r="A10" s="19" t="s">
        <v>92</v>
      </c>
      <c r="B10" s="20" t="s">
        <v>93</v>
      </c>
      <c r="C10" s="20" t="s">
        <v>94</v>
      </c>
      <c r="D10" s="19" t="s">
        <v>95</v>
      </c>
      <c r="E10" s="24" t="s">
        <v>96</v>
      </c>
      <c r="F10" s="20" t="s">
        <v>97</v>
      </c>
      <c r="G10" s="19" t="s">
        <v>9</v>
      </c>
      <c r="H10" s="19" t="s">
        <v>41</v>
      </c>
      <c r="I10" s="19" t="s">
        <v>46</v>
      </c>
      <c r="J10" s="21" t="s">
        <v>69</v>
      </c>
      <c r="K10" s="21" t="s">
        <v>70</v>
      </c>
      <c r="L10" s="22"/>
      <c r="M10" s="23" t="s">
        <v>98</v>
      </c>
    </row>
    <row r="11" spans="1:13" ht="32.25" customHeight="1" x14ac:dyDescent="0.3">
      <c r="A11" s="19" t="s">
        <v>99</v>
      </c>
      <c r="B11" s="20" t="s">
        <v>64</v>
      </c>
      <c r="C11" s="20" t="s">
        <v>100</v>
      </c>
      <c r="D11" s="19" t="s">
        <v>101</v>
      </c>
      <c r="E11" s="20" t="s">
        <v>102</v>
      </c>
      <c r="F11" s="20" t="s">
        <v>103</v>
      </c>
      <c r="G11" s="19" t="s">
        <v>11</v>
      </c>
      <c r="H11" s="19" t="s">
        <v>40</v>
      </c>
      <c r="I11" s="19" t="s">
        <v>46</v>
      </c>
      <c r="J11" s="21" t="s">
        <v>69</v>
      </c>
      <c r="K11" s="21" t="s">
        <v>70</v>
      </c>
      <c r="L11" s="22"/>
      <c r="M11" s="19"/>
    </row>
    <row r="12" spans="1:13" ht="45" customHeight="1" x14ac:dyDescent="0.3">
      <c r="A12" s="19" t="s">
        <v>104</v>
      </c>
      <c r="B12" s="20" t="s">
        <v>64</v>
      </c>
      <c r="C12" s="20" t="s">
        <v>105</v>
      </c>
      <c r="D12" s="19" t="s">
        <v>66</v>
      </c>
      <c r="E12" s="20" t="s">
        <v>106</v>
      </c>
      <c r="F12" s="20" t="s">
        <v>107</v>
      </c>
      <c r="G12" s="19" t="s">
        <v>9</v>
      </c>
      <c r="H12" s="19" t="s">
        <v>40</v>
      </c>
      <c r="I12" s="19" t="s">
        <v>46</v>
      </c>
      <c r="J12" s="21" t="s">
        <v>69</v>
      </c>
      <c r="K12" s="21" t="s">
        <v>70</v>
      </c>
      <c r="L12" s="22"/>
      <c r="M12" s="19"/>
    </row>
    <row r="13" spans="1:13" ht="45" customHeight="1" x14ac:dyDescent="0.3">
      <c r="A13" s="19" t="s">
        <v>108</v>
      </c>
      <c r="B13" s="20" t="s">
        <v>64</v>
      </c>
      <c r="C13" s="20" t="s">
        <v>109</v>
      </c>
      <c r="D13" s="19" t="s">
        <v>95</v>
      </c>
      <c r="E13" s="20" t="s">
        <v>110</v>
      </c>
      <c r="F13" s="20" t="s">
        <v>111</v>
      </c>
      <c r="G13" s="19" t="s">
        <v>9</v>
      </c>
      <c r="H13" s="19" t="s">
        <v>40</v>
      </c>
      <c r="I13" s="19" t="s">
        <v>46</v>
      </c>
      <c r="J13" s="21" t="s">
        <v>69</v>
      </c>
      <c r="K13" s="21" t="s">
        <v>70</v>
      </c>
      <c r="L13" s="22"/>
      <c r="M13" s="19"/>
    </row>
    <row r="14" spans="1:13" ht="45" customHeight="1" x14ac:dyDescent="0.3">
      <c r="A14" s="19" t="s">
        <v>112</v>
      </c>
      <c r="B14" s="20" t="s">
        <v>113</v>
      </c>
      <c r="C14" s="20" t="s">
        <v>114</v>
      </c>
      <c r="D14" s="19" t="s">
        <v>101</v>
      </c>
      <c r="E14" s="20" t="s">
        <v>115</v>
      </c>
      <c r="F14" s="20" t="s">
        <v>116</v>
      </c>
      <c r="G14" s="19" t="s">
        <v>11</v>
      </c>
      <c r="H14" s="19" t="s">
        <v>40</v>
      </c>
      <c r="I14" s="19" t="s">
        <v>46</v>
      </c>
      <c r="J14" s="21" t="s">
        <v>69</v>
      </c>
      <c r="K14" s="21" t="s">
        <v>70</v>
      </c>
      <c r="L14" s="22"/>
      <c r="M14" s="19"/>
    </row>
    <row r="15" spans="1:13" ht="84.75" customHeight="1" x14ac:dyDescent="0.3">
      <c r="A15" s="19" t="s">
        <v>117</v>
      </c>
      <c r="B15" s="20" t="s">
        <v>118</v>
      </c>
      <c r="C15" s="20" t="s">
        <v>119</v>
      </c>
      <c r="D15" s="19" t="s">
        <v>101</v>
      </c>
      <c r="E15" s="20" t="s">
        <v>120</v>
      </c>
      <c r="F15" s="20" t="s">
        <v>121</v>
      </c>
      <c r="G15" s="19" t="s">
        <v>9</v>
      </c>
      <c r="H15" s="19" t="s">
        <v>41</v>
      </c>
      <c r="I15" s="19" t="s">
        <v>46</v>
      </c>
      <c r="J15" s="21" t="s">
        <v>69</v>
      </c>
      <c r="K15" s="21" t="s">
        <v>70</v>
      </c>
      <c r="L15" s="22"/>
      <c r="M15" s="23" t="s">
        <v>122</v>
      </c>
    </row>
    <row r="16" spans="1:13" ht="32.25" customHeight="1" x14ac:dyDescent="0.3">
      <c r="A16" s="19" t="s">
        <v>123</v>
      </c>
      <c r="B16" s="20" t="s">
        <v>118</v>
      </c>
      <c r="C16" s="20" t="s">
        <v>124</v>
      </c>
      <c r="D16" s="19" t="s">
        <v>125</v>
      </c>
      <c r="E16" s="20" t="s">
        <v>126</v>
      </c>
      <c r="F16" s="20" t="s">
        <v>127</v>
      </c>
      <c r="G16" s="19" t="s">
        <v>9</v>
      </c>
      <c r="H16" s="19" t="s">
        <v>40</v>
      </c>
      <c r="I16" s="19" t="s">
        <v>46</v>
      </c>
      <c r="J16" s="21" t="s">
        <v>70</v>
      </c>
      <c r="K16" s="21" t="s">
        <v>70</v>
      </c>
      <c r="L16" s="22"/>
      <c r="M16" s="19"/>
    </row>
    <row r="17" spans="1:13" ht="124.5" customHeight="1" x14ac:dyDescent="0.3">
      <c r="A17" s="19" t="s">
        <v>128</v>
      </c>
      <c r="B17" s="20" t="s">
        <v>118</v>
      </c>
      <c r="C17" s="20" t="s">
        <v>129</v>
      </c>
      <c r="D17" s="19" t="s">
        <v>95</v>
      </c>
      <c r="E17" s="24" t="s">
        <v>130</v>
      </c>
      <c r="F17" s="20" t="s">
        <v>131</v>
      </c>
      <c r="G17" s="19" t="s">
        <v>9</v>
      </c>
      <c r="H17" s="19" t="s">
        <v>42</v>
      </c>
      <c r="I17" s="19" t="s">
        <v>132</v>
      </c>
      <c r="J17" s="21" t="s">
        <v>69</v>
      </c>
      <c r="K17" s="21" t="s">
        <v>70</v>
      </c>
      <c r="L17" s="22" t="s">
        <v>133</v>
      </c>
      <c r="M17" s="23" t="s">
        <v>134</v>
      </c>
    </row>
    <row r="18" spans="1:13" ht="58.5" customHeight="1" x14ac:dyDescent="0.3">
      <c r="A18" s="19" t="s">
        <v>135</v>
      </c>
      <c r="B18" s="20" t="s">
        <v>118</v>
      </c>
      <c r="C18" s="20" t="s">
        <v>136</v>
      </c>
      <c r="D18" s="19" t="s">
        <v>95</v>
      </c>
      <c r="E18" s="24" t="s">
        <v>137</v>
      </c>
      <c r="F18" s="20" t="s">
        <v>138</v>
      </c>
      <c r="G18" s="19" t="s">
        <v>9</v>
      </c>
      <c r="H18" s="19" t="s">
        <v>41</v>
      </c>
      <c r="I18" s="19" t="s">
        <v>46</v>
      </c>
      <c r="J18" s="21" t="s">
        <v>69</v>
      </c>
      <c r="K18" s="21" t="s">
        <v>70</v>
      </c>
      <c r="L18" s="22"/>
      <c r="M18" s="23" t="s">
        <v>139</v>
      </c>
    </row>
    <row r="19" spans="1:13" ht="45" customHeight="1" x14ac:dyDescent="0.3">
      <c r="A19" s="19" t="s">
        <v>140</v>
      </c>
      <c r="B19" s="20" t="s">
        <v>118</v>
      </c>
      <c r="C19" s="20" t="s">
        <v>141</v>
      </c>
      <c r="D19" s="19" t="s">
        <v>95</v>
      </c>
      <c r="E19" s="24" t="s">
        <v>142</v>
      </c>
      <c r="F19" s="20" t="s">
        <v>143</v>
      </c>
      <c r="G19" s="19" t="s">
        <v>9</v>
      </c>
      <c r="H19" s="19" t="s">
        <v>40</v>
      </c>
      <c r="I19" s="19" t="s">
        <v>46</v>
      </c>
      <c r="J19" s="21" t="s">
        <v>69</v>
      </c>
      <c r="K19" s="21" t="s">
        <v>70</v>
      </c>
      <c r="L19" s="22" t="s">
        <v>144</v>
      </c>
      <c r="M19" s="23" t="s">
        <v>145</v>
      </c>
    </row>
    <row r="20" spans="1:13" ht="84.75" customHeight="1" x14ac:dyDescent="0.3">
      <c r="A20" s="19" t="s">
        <v>146</v>
      </c>
      <c r="B20" s="20" t="s">
        <v>118</v>
      </c>
      <c r="C20" s="20" t="s">
        <v>147</v>
      </c>
      <c r="D20" s="19" t="s">
        <v>95</v>
      </c>
      <c r="E20" s="20" t="s">
        <v>148</v>
      </c>
      <c r="F20" s="20" t="s">
        <v>149</v>
      </c>
      <c r="G20" s="19" t="s">
        <v>9</v>
      </c>
      <c r="H20" s="19" t="s">
        <v>40</v>
      </c>
      <c r="I20" s="19" t="s">
        <v>46</v>
      </c>
      <c r="J20" s="21" t="s">
        <v>70</v>
      </c>
      <c r="K20" s="21" t="s">
        <v>70</v>
      </c>
      <c r="L20" s="22"/>
      <c r="M20" s="19"/>
    </row>
    <row r="21" spans="1:13" ht="32.25" customHeight="1" x14ac:dyDescent="0.3">
      <c r="A21" s="19" t="s">
        <v>150</v>
      </c>
      <c r="B21" s="20" t="s">
        <v>118</v>
      </c>
      <c r="C21" s="20" t="s">
        <v>151</v>
      </c>
      <c r="D21" s="19" t="s">
        <v>101</v>
      </c>
      <c r="E21" s="20" t="s">
        <v>152</v>
      </c>
      <c r="F21" s="20" t="s">
        <v>153</v>
      </c>
      <c r="G21" s="19" t="s">
        <v>11</v>
      </c>
      <c r="H21" s="19" t="s">
        <v>40</v>
      </c>
      <c r="I21" s="19" t="s">
        <v>46</v>
      </c>
      <c r="J21" s="21" t="s">
        <v>69</v>
      </c>
      <c r="K21" s="21" t="s">
        <v>70</v>
      </c>
      <c r="L21" s="22"/>
      <c r="M21" s="19"/>
    </row>
    <row r="22" spans="1:13" ht="58.5" customHeight="1" x14ac:dyDescent="0.3">
      <c r="A22" s="19" t="s">
        <v>154</v>
      </c>
      <c r="B22" s="20" t="s">
        <v>118</v>
      </c>
      <c r="C22" s="20" t="s">
        <v>155</v>
      </c>
      <c r="D22" s="19" t="s">
        <v>95</v>
      </c>
      <c r="E22" s="20" t="s">
        <v>156</v>
      </c>
      <c r="F22" s="20" t="s">
        <v>157</v>
      </c>
      <c r="G22" s="19" t="s">
        <v>11</v>
      </c>
      <c r="H22" s="19" t="s">
        <v>42</v>
      </c>
      <c r="I22" s="19" t="s">
        <v>47</v>
      </c>
      <c r="J22" s="21" t="s">
        <v>70</v>
      </c>
      <c r="K22" s="21" t="s">
        <v>70</v>
      </c>
      <c r="L22" s="22"/>
      <c r="M22" s="23" t="s">
        <v>158</v>
      </c>
    </row>
    <row r="23" spans="1:13" ht="58.5" customHeight="1" x14ac:dyDescent="0.3">
      <c r="A23" s="19" t="s">
        <v>159</v>
      </c>
      <c r="B23" s="20" t="s">
        <v>160</v>
      </c>
      <c r="C23" s="20" t="s">
        <v>161</v>
      </c>
      <c r="D23" s="19" t="s">
        <v>66</v>
      </c>
      <c r="E23" s="20" t="s">
        <v>162</v>
      </c>
      <c r="F23" s="20" t="s">
        <v>163</v>
      </c>
      <c r="G23" s="19" t="s">
        <v>9</v>
      </c>
      <c r="H23" s="19" t="s">
        <v>41</v>
      </c>
      <c r="I23" s="19" t="s">
        <v>46</v>
      </c>
      <c r="J23" s="21" t="s">
        <v>69</v>
      </c>
      <c r="K23" s="21" t="s">
        <v>70</v>
      </c>
      <c r="L23" s="22"/>
      <c r="M23" s="23" t="s">
        <v>164</v>
      </c>
    </row>
    <row r="24" spans="1:13" ht="45" customHeight="1" x14ac:dyDescent="0.3">
      <c r="A24" s="19" t="s">
        <v>165</v>
      </c>
      <c r="B24" s="20" t="s">
        <v>160</v>
      </c>
      <c r="C24" s="20" t="s">
        <v>166</v>
      </c>
      <c r="D24" s="19" t="s">
        <v>95</v>
      </c>
      <c r="E24" s="20" t="s">
        <v>167</v>
      </c>
      <c r="F24" s="20" t="s">
        <v>168</v>
      </c>
      <c r="G24" s="19" t="s">
        <v>11</v>
      </c>
      <c r="H24" s="19" t="s">
        <v>40</v>
      </c>
      <c r="I24" s="19" t="s">
        <v>46</v>
      </c>
      <c r="J24" s="21" t="s">
        <v>69</v>
      </c>
      <c r="K24" s="21" t="s">
        <v>70</v>
      </c>
      <c r="L24" s="22"/>
      <c r="M24" s="23" t="s">
        <v>164</v>
      </c>
    </row>
    <row r="25" spans="1:13" ht="45" customHeight="1" x14ac:dyDescent="0.3">
      <c r="A25" s="19" t="s">
        <v>169</v>
      </c>
      <c r="B25" s="20" t="s">
        <v>160</v>
      </c>
      <c r="C25" s="20" t="s">
        <v>170</v>
      </c>
      <c r="D25" s="19" t="s">
        <v>66</v>
      </c>
      <c r="E25" s="20" t="s">
        <v>171</v>
      </c>
      <c r="F25" s="20" t="s">
        <v>172</v>
      </c>
      <c r="G25" s="19" t="s">
        <v>13</v>
      </c>
      <c r="H25" s="19" t="s">
        <v>41</v>
      </c>
      <c r="I25" s="19" t="s">
        <v>46</v>
      </c>
      <c r="J25" s="21" t="s">
        <v>69</v>
      </c>
      <c r="K25" s="21" t="s">
        <v>70</v>
      </c>
      <c r="L25" s="22"/>
      <c r="M25" s="19"/>
    </row>
    <row r="26" spans="1:13" ht="45" customHeight="1" x14ac:dyDescent="0.3">
      <c r="A26" s="19" t="s">
        <v>173</v>
      </c>
      <c r="B26" s="20" t="s">
        <v>174</v>
      </c>
      <c r="C26" s="20" t="s">
        <v>175</v>
      </c>
      <c r="D26" s="19" t="s">
        <v>66</v>
      </c>
      <c r="E26" s="20" t="s">
        <v>176</v>
      </c>
      <c r="F26" s="20" t="s">
        <v>177</v>
      </c>
      <c r="G26" s="19" t="s">
        <v>9</v>
      </c>
      <c r="H26" s="19" t="s">
        <v>40</v>
      </c>
      <c r="I26" s="19" t="s">
        <v>47</v>
      </c>
      <c r="J26" s="21" t="s">
        <v>70</v>
      </c>
      <c r="K26" s="21" t="s">
        <v>70</v>
      </c>
      <c r="L26" s="22"/>
      <c r="M26" s="23" t="s">
        <v>178</v>
      </c>
    </row>
    <row r="27" spans="1:13" ht="32.25" customHeight="1" x14ac:dyDescent="0.3">
      <c r="A27" s="19" t="s">
        <v>179</v>
      </c>
      <c r="B27" s="20" t="s">
        <v>174</v>
      </c>
      <c r="C27" s="20" t="s">
        <v>180</v>
      </c>
      <c r="D27" s="19" t="s">
        <v>66</v>
      </c>
      <c r="E27" s="20" t="s">
        <v>181</v>
      </c>
      <c r="F27" s="20" t="s">
        <v>182</v>
      </c>
      <c r="G27" s="19" t="s">
        <v>9</v>
      </c>
      <c r="H27" s="19" t="s">
        <v>40</v>
      </c>
      <c r="I27" s="19" t="s">
        <v>47</v>
      </c>
      <c r="J27" s="21" t="s">
        <v>70</v>
      </c>
      <c r="K27" s="21" t="s">
        <v>70</v>
      </c>
      <c r="L27" s="22"/>
      <c r="M27" s="19"/>
    </row>
    <row r="28" spans="1:13" ht="32.25" customHeight="1" x14ac:dyDescent="0.3">
      <c r="A28" s="19" t="s">
        <v>183</v>
      </c>
      <c r="B28" s="20" t="s">
        <v>174</v>
      </c>
      <c r="C28" s="20" t="s">
        <v>184</v>
      </c>
      <c r="D28" s="19" t="s">
        <v>66</v>
      </c>
      <c r="E28" s="20" t="s">
        <v>185</v>
      </c>
      <c r="F28" s="20" t="s">
        <v>186</v>
      </c>
      <c r="G28" s="19" t="s">
        <v>11</v>
      </c>
      <c r="H28" s="19" t="s">
        <v>40</v>
      </c>
      <c r="I28" s="19" t="s">
        <v>47</v>
      </c>
      <c r="J28" s="21" t="s">
        <v>70</v>
      </c>
      <c r="K28" s="21" t="s">
        <v>70</v>
      </c>
      <c r="L28" s="22"/>
      <c r="M28" s="19"/>
    </row>
    <row r="29" spans="1:13" ht="32.25" customHeight="1" x14ac:dyDescent="0.3">
      <c r="A29" s="19" t="s">
        <v>187</v>
      </c>
      <c r="B29" s="20" t="s">
        <v>174</v>
      </c>
      <c r="C29" s="20" t="s">
        <v>188</v>
      </c>
      <c r="D29" s="19" t="s">
        <v>66</v>
      </c>
      <c r="E29" s="20" t="s">
        <v>189</v>
      </c>
      <c r="F29" s="20" t="s">
        <v>190</v>
      </c>
      <c r="G29" s="19" t="s">
        <v>11</v>
      </c>
      <c r="H29" s="19" t="s">
        <v>40</v>
      </c>
      <c r="I29" s="19" t="s">
        <v>47</v>
      </c>
      <c r="J29" s="21" t="s">
        <v>70</v>
      </c>
      <c r="K29" s="21" t="s">
        <v>70</v>
      </c>
      <c r="L29" s="22"/>
      <c r="M29" s="19"/>
    </row>
    <row r="30" spans="1:13" ht="32.25" customHeight="1" x14ac:dyDescent="0.3">
      <c r="A30" s="19" t="s">
        <v>191</v>
      </c>
      <c r="B30" s="20" t="s">
        <v>192</v>
      </c>
      <c r="C30" s="20" t="s">
        <v>193</v>
      </c>
      <c r="D30" s="19" t="s">
        <v>101</v>
      </c>
      <c r="E30" s="20" t="s">
        <v>194</v>
      </c>
      <c r="F30" s="20" t="s">
        <v>195</v>
      </c>
      <c r="G30" s="19" t="s">
        <v>11</v>
      </c>
      <c r="H30" s="19" t="s">
        <v>40</v>
      </c>
      <c r="I30" s="19" t="s">
        <v>46</v>
      </c>
      <c r="J30" s="21" t="s">
        <v>69</v>
      </c>
      <c r="K30" s="21" t="s">
        <v>70</v>
      </c>
      <c r="L30" s="22"/>
      <c r="M30" s="23" t="s">
        <v>164</v>
      </c>
    </row>
    <row r="31" spans="1:13" ht="32.25" customHeight="1" x14ac:dyDescent="0.3">
      <c r="A31" s="19" t="s">
        <v>196</v>
      </c>
      <c r="B31" s="20" t="s">
        <v>192</v>
      </c>
      <c r="C31" s="20" t="s">
        <v>197</v>
      </c>
      <c r="D31" s="19" t="s">
        <v>101</v>
      </c>
      <c r="E31" s="20" t="s">
        <v>198</v>
      </c>
      <c r="F31" s="20" t="s">
        <v>199</v>
      </c>
      <c r="G31" s="19" t="s">
        <v>13</v>
      </c>
      <c r="H31" s="19" t="s">
        <v>40</v>
      </c>
      <c r="I31" s="19" t="s">
        <v>46</v>
      </c>
      <c r="J31" s="21" t="s">
        <v>70</v>
      </c>
      <c r="K31" s="21" t="s">
        <v>70</v>
      </c>
      <c r="L31" s="22"/>
      <c r="M31" s="19"/>
    </row>
    <row r="32" spans="1:13" ht="45" customHeight="1" x14ac:dyDescent="0.3">
      <c r="A32" s="19" t="s">
        <v>200</v>
      </c>
      <c r="B32" s="20" t="s">
        <v>201</v>
      </c>
      <c r="C32" s="20" t="s">
        <v>202</v>
      </c>
      <c r="D32" s="19" t="s">
        <v>101</v>
      </c>
      <c r="E32" s="20" t="s">
        <v>203</v>
      </c>
      <c r="F32" s="20" t="s">
        <v>204</v>
      </c>
      <c r="G32" s="19" t="s">
        <v>9</v>
      </c>
      <c r="H32" s="19" t="s">
        <v>40</v>
      </c>
      <c r="I32" s="19" t="s">
        <v>46</v>
      </c>
      <c r="J32" s="21" t="s">
        <v>69</v>
      </c>
      <c r="K32" s="21" t="s">
        <v>70</v>
      </c>
      <c r="L32" s="22"/>
      <c r="M32" s="19"/>
    </row>
    <row r="33" spans="1:13" ht="150" customHeight="1" x14ac:dyDescent="0.3">
      <c r="A33" s="19" t="s">
        <v>205</v>
      </c>
      <c r="B33" s="20" t="s">
        <v>118</v>
      </c>
      <c r="C33" s="20" t="s">
        <v>206</v>
      </c>
      <c r="D33" s="19" t="s">
        <v>66</v>
      </c>
      <c r="E33" s="20" t="s">
        <v>207</v>
      </c>
      <c r="F33" s="20" t="s">
        <v>208</v>
      </c>
      <c r="G33" s="19" t="s">
        <v>11</v>
      </c>
      <c r="H33" s="19" t="s">
        <v>40</v>
      </c>
      <c r="I33" s="19" t="s">
        <v>46</v>
      </c>
      <c r="J33" s="21" t="s">
        <v>69</v>
      </c>
      <c r="K33" s="21" t="s">
        <v>70</v>
      </c>
      <c r="L33" s="22" t="s">
        <v>535</v>
      </c>
      <c r="M33" s="25" t="s">
        <v>134</v>
      </c>
    </row>
  </sheetData>
  <autoFilter ref="A4:M33" xr:uid="{00000000-0009-0000-0000-000001000000}"/>
  <mergeCells count="2">
    <mergeCell ref="A1:M1"/>
    <mergeCell ref="A2:M2"/>
  </mergeCells>
  <conditionalFormatting sqref="A5:F33">
    <cfRule type="expression" dxfId="13" priority="8">
      <formula>$J5="☑"</formula>
    </cfRule>
  </conditionalFormatting>
  <conditionalFormatting sqref="G5:G33">
    <cfRule type="cellIs" dxfId="12" priority="2" operator="equal">
      <formula>"Bắt buộc"</formula>
    </cfRule>
    <cfRule type="cellIs" dxfId="11" priority="3" operator="equal">
      <formula>"Nên có"</formula>
    </cfRule>
    <cfRule type="cellIs" dxfId="10" priority="4" operator="equal">
      <formula>"Tùy chọn"</formula>
    </cfRule>
  </conditionalFormatting>
  <conditionalFormatting sqref="H5:H33">
    <cfRule type="cellIs" dxfId="9" priority="5" operator="equal">
      <formula>"Dễ"</formula>
    </cfRule>
    <cfRule type="cellIs" dxfId="8" priority="6" operator="equal">
      <formula>"Trung bình"</formula>
    </cfRule>
    <cfRule type="cellIs" dxfId="7" priority="7" operator="equal">
      <formula>"Khó"</formula>
    </cfRule>
  </conditionalFormatting>
  <conditionalFormatting sqref="I5:I33">
    <cfRule type="expression" dxfId="6" priority="9">
      <formula>$J5="☑"</formula>
    </cfRule>
  </conditionalFormatting>
  <dataValidations count="1">
    <dataValidation type="list" errorTitle="Giá trị không hợp lệ" error="Chọn ☐ (chưa) hoặc ☑ (xong) trong danh sách" sqref="J5:K33" xr:uid="{00000000-0002-0000-0100-000000000000}">
      <formula1>"☐,☑"</formula1>
      <formula2>0</formula2>
    </dataValidation>
  </dataValidations>
  <hyperlinks>
    <hyperlink ref="M5" location="'Giải thích'!A6" display="G2" xr:uid="{00000000-0004-0000-0100-000000000000}"/>
    <hyperlink ref="M6" location="'Giải thích'!A6" display="G2" xr:uid="{00000000-0004-0000-0100-000001000000}"/>
    <hyperlink ref="M10" location="'Giải thích'!A7" display="G3" xr:uid="{00000000-0004-0000-0100-000002000000}"/>
    <hyperlink ref="M15" location="'Giải thích'!A5" display="G1" xr:uid="{00000000-0004-0000-0100-000003000000}"/>
    <hyperlink ref="M17" location="'Giải thích'!A8" display="G4" xr:uid="{00000000-0004-0000-0100-000004000000}"/>
    <hyperlink ref="M18" location="'Giải thích'!A9" display="G5" xr:uid="{00000000-0004-0000-0100-000005000000}"/>
    <hyperlink ref="M19" location="'Giải thích'!A13" display="G9" xr:uid="{00000000-0004-0000-0100-000006000000}"/>
    <hyperlink ref="M22" location="'Giải thích'!A12" display="G8" xr:uid="{00000000-0004-0000-0100-000007000000}"/>
    <hyperlink ref="M23" location="'Giải thích'!A10" display="G6" xr:uid="{00000000-0004-0000-0100-000008000000}"/>
    <hyperlink ref="M24" location="'Giải thích'!A10" display="G6" xr:uid="{00000000-0004-0000-0100-000009000000}"/>
    <hyperlink ref="M26" location="'Giải thích'!A11" display="G7" xr:uid="{00000000-0004-0000-0100-00000A000000}"/>
    <hyperlink ref="M30" location="'Giải thích'!A10" display="G6" xr:uid="{00000000-0004-0000-0100-00000B000000}"/>
    <hyperlink ref="M33" location="'Giải thích'!A8" display="G4" xr:uid="{00000000-0004-0000-0100-00000C000000}"/>
  </hyperlink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67E22"/>
  </sheetPr>
  <dimension ref="A1:K15"/>
  <sheetViews>
    <sheetView zoomScaleNormal="100" workbookViewId="0">
      <pane xSplit="2" ySplit="4" topLeftCell="C12" activePane="bottomRight" state="frozen"/>
      <selection pane="topRight" activeCell="D1" sqref="D1"/>
      <selection pane="bottomLeft" activeCell="A10" sqref="A10"/>
      <selection pane="bottomRight" activeCell="I15" sqref="I15"/>
    </sheetView>
  </sheetViews>
  <sheetFormatPr defaultColWidth="8.6640625" defaultRowHeight="14.4" x14ac:dyDescent="0.3"/>
  <cols>
    <col min="1" max="1" width="7" customWidth="1"/>
    <col min="2" max="2" width="34" customWidth="1"/>
    <col min="3" max="3" width="40" customWidth="1"/>
    <col min="4" max="5" width="42" customWidth="1"/>
    <col min="6" max="6" width="14" customWidth="1"/>
    <col min="7" max="7" width="44" customWidth="1"/>
    <col min="8" max="8" width="12" customWidth="1"/>
    <col min="9" max="9" width="10" customWidth="1"/>
    <col min="10" max="10" width="30" customWidth="1"/>
    <col min="11" max="11" width="14" customWidth="1"/>
  </cols>
  <sheetData>
    <row r="1" spans="1:11" ht="25.5" customHeight="1" x14ac:dyDescent="0.35">
      <c r="A1" s="5" t="s">
        <v>209</v>
      </c>
      <c r="B1" s="5"/>
      <c r="C1" s="5"/>
      <c r="D1" s="5"/>
      <c r="E1" s="5"/>
      <c r="F1" s="5"/>
      <c r="G1" s="5"/>
      <c r="H1" s="5"/>
      <c r="I1" s="5"/>
      <c r="J1" s="5"/>
      <c r="K1" s="5"/>
    </row>
    <row r="2" spans="1:11" ht="43.5" customHeight="1" x14ac:dyDescent="0.3">
      <c r="A2" s="4" t="s">
        <v>210</v>
      </c>
      <c r="B2" s="4"/>
      <c r="C2" s="4"/>
      <c r="D2" s="4"/>
      <c r="E2" s="4"/>
      <c r="F2" s="4"/>
      <c r="G2" s="4"/>
      <c r="H2" s="4"/>
      <c r="I2" s="4"/>
      <c r="J2" s="4"/>
      <c r="K2" s="4"/>
    </row>
    <row r="4" spans="1:11" ht="33.75" customHeight="1" x14ac:dyDescent="0.3">
      <c r="A4" s="18" t="s">
        <v>52</v>
      </c>
      <c r="B4" s="18" t="s">
        <v>211</v>
      </c>
      <c r="C4" s="18" t="s">
        <v>212</v>
      </c>
      <c r="D4" s="18" t="s">
        <v>213</v>
      </c>
      <c r="E4" s="18" t="s">
        <v>214</v>
      </c>
      <c r="F4" s="18" t="s">
        <v>215</v>
      </c>
      <c r="G4" s="18" t="s">
        <v>216</v>
      </c>
      <c r="H4" s="18" t="s">
        <v>217</v>
      </c>
      <c r="I4" s="18" t="s">
        <v>218</v>
      </c>
      <c r="J4" s="18" t="s">
        <v>219</v>
      </c>
      <c r="K4" s="18" t="s">
        <v>220</v>
      </c>
    </row>
    <row r="5" spans="1:11" ht="58.5" customHeight="1" x14ac:dyDescent="0.3">
      <c r="A5" s="19" t="s">
        <v>221</v>
      </c>
      <c r="B5" s="20" t="s">
        <v>222</v>
      </c>
      <c r="C5" s="20" t="s">
        <v>223</v>
      </c>
      <c r="D5" s="20" t="s">
        <v>224</v>
      </c>
      <c r="E5" s="20" t="s">
        <v>225</v>
      </c>
      <c r="F5" s="19" t="s">
        <v>226</v>
      </c>
      <c r="G5" s="20" t="s">
        <v>227</v>
      </c>
      <c r="H5" s="26" t="s">
        <v>226</v>
      </c>
      <c r="I5" s="21" t="s">
        <v>69</v>
      </c>
      <c r="J5" s="22"/>
      <c r="K5" s="19" t="s">
        <v>228</v>
      </c>
    </row>
    <row r="6" spans="1:11" ht="58.5" customHeight="1" x14ac:dyDescent="0.3">
      <c r="A6" s="27" t="s">
        <v>229</v>
      </c>
      <c r="B6" s="20" t="s">
        <v>230</v>
      </c>
      <c r="C6" s="20" t="s">
        <v>231</v>
      </c>
      <c r="D6" s="20" t="s">
        <v>232</v>
      </c>
      <c r="E6" s="20" t="s">
        <v>233</v>
      </c>
      <c r="F6" s="19" t="s">
        <v>234</v>
      </c>
      <c r="G6" s="20" t="s">
        <v>235</v>
      </c>
      <c r="H6" s="26" t="s">
        <v>236</v>
      </c>
      <c r="I6" s="21" t="s">
        <v>69</v>
      </c>
      <c r="J6" s="22" t="s">
        <v>237</v>
      </c>
      <c r="K6" s="19" t="s">
        <v>238</v>
      </c>
    </row>
    <row r="7" spans="1:11" ht="45" customHeight="1" x14ac:dyDescent="0.3">
      <c r="A7" s="19" t="s">
        <v>239</v>
      </c>
      <c r="B7" s="20" t="s">
        <v>240</v>
      </c>
      <c r="C7" s="20" t="s">
        <v>241</v>
      </c>
      <c r="D7" s="20" t="s">
        <v>242</v>
      </c>
      <c r="E7" s="20" t="s">
        <v>243</v>
      </c>
      <c r="F7" s="19" t="s">
        <v>226</v>
      </c>
      <c r="G7" s="20" t="s">
        <v>244</v>
      </c>
      <c r="H7" s="26" t="s">
        <v>226</v>
      </c>
      <c r="I7" s="21" t="s">
        <v>69</v>
      </c>
      <c r="J7" s="22"/>
      <c r="K7" s="19" t="s">
        <v>146</v>
      </c>
    </row>
    <row r="8" spans="1:11" ht="45" customHeight="1" x14ac:dyDescent="0.3">
      <c r="A8" s="27" t="s">
        <v>245</v>
      </c>
      <c r="B8" s="20" t="s">
        <v>246</v>
      </c>
      <c r="C8" s="20" t="s">
        <v>247</v>
      </c>
      <c r="D8" s="20" t="s">
        <v>248</v>
      </c>
      <c r="E8" s="20" t="s">
        <v>249</v>
      </c>
      <c r="F8" s="19" t="s">
        <v>226</v>
      </c>
      <c r="G8" s="20" t="s">
        <v>250</v>
      </c>
      <c r="H8" s="26" t="s">
        <v>226</v>
      </c>
      <c r="I8" s="21" t="s">
        <v>69</v>
      </c>
      <c r="J8" s="22" t="s">
        <v>251</v>
      </c>
      <c r="K8" s="19" t="s">
        <v>252</v>
      </c>
    </row>
    <row r="9" spans="1:11" ht="45" customHeight="1" x14ac:dyDescent="0.3">
      <c r="A9" s="19" t="s">
        <v>253</v>
      </c>
      <c r="B9" s="20" t="s">
        <v>254</v>
      </c>
      <c r="C9" s="20" t="s">
        <v>255</v>
      </c>
      <c r="D9" s="20" t="s">
        <v>256</v>
      </c>
      <c r="E9" s="20" t="s">
        <v>257</v>
      </c>
      <c r="F9" s="19" t="s">
        <v>226</v>
      </c>
      <c r="G9" s="20" t="s">
        <v>258</v>
      </c>
      <c r="H9" s="26" t="s">
        <v>226</v>
      </c>
      <c r="I9" s="21" t="s">
        <v>69</v>
      </c>
      <c r="J9" s="22"/>
      <c r="K9" s="19" t="s">
        <v>92</v>
      </c>
    </row>
    <row r="10" spans="1:11" ht="45" customHeight="1" x14ac:dyDescent="0.3">
      <c r="A10" s="19" t="s">
        <v>259</v>
      </c>
      <c r="B10" s="20" t="s">
        <v>260</v>
      </c>
      <c r="C10" s="20" t="s">
        <v>261</v>
      </c>
      <c r="D10" s="20" t="s">
        <v>262</v>
      </c>
      <c r="E10" s="20" t="s">
        <v>263</v>
      </c>
      <c r="F10" s="19" t="s">
        <v>226</v>
      </c>
      <c r="G10" s="20" t="s">
        <v>264</v>
      </c>
      <c r="H10" s="26" t="s">
        <v>226</v>
      </c>
      <c r="I10" s="21" t="s">
        <v>69</v>
      </c>
      <c r="J10" s="22"/>
      <c r="K10" s="19" t="s">
        <v>112</v>
      </c>
    </row>
    <row r="11" spans="1:11" ht="32.25" customHeight="1" x14ac:dyDescent="0.3">
      <c r="A11" s="19" t="s">
        <v>265</v>
      </c>
      <c r="B11" s="20" t="s">
        <v>266</v>
      </c>
      <c r="C11" s="20" t="s">
        <v>267</v>
      </c>
      <c r="D11" s="20" t="s">
        <v>268</v>
      </c>
      <c r="E11" s="20" t="s">
        <v>269</v>
      </c>
      <c r="F11" s="19" t="s">
        <v>226</v>
      </c>
      <c r="G11" s="20" t="s">
        <v>270</v>
      </c>
      <c r="H11" s="26" t="s">
        <v>271</v>
      </c>
      <c r="I11" s="21" t="s">
        <v>69</v>
      </c>
      <c r="J11" s="22"/>
      <c r="K11" s="19" t="s">
        <v>81</v>
      </c>
    </row>
    <row r="12" spans="1:11" ht="45" customHeight="1" x14ac:dyDescent="0.3">
      <c r="A12" s="27" t="s">
        <v>272</v>
      </c>
      <c r="B12" s="20" t="s">
        <v>273</v>
      </c>
      <c r="C12" s="20" t="s">
        <v>274</v>
      </c>
      <c r="D12" s="20" t="s">
        <v>275</v>
      </c>
      <c r="E12" s="20" t="s">
        <v>276</v>
      </c>
      <c r="F12" s="19" t="s">
        <v>226</v>
      </c>
      <c r="G12" s="20" t="s">
        <v>277</v>
      </c>
      <c r="H12" s="26" t="s">
        <v>226</v>
      </c>
      <c r="I12" s="21" t="s">
        <v>69</v>
      </c>
      <c r="J12" s="22"/>
      <c r="K12" s="19"/>
    </row>
    <row r="13" spans="1:11" ht="32.25" customHeight="1" x14ac:dyDescent="0.3">
      <c r="A13" s="27" t="s">
        <v>278</v>
      </c>
      <c r="B13" s="20" t="s">
        <v>279</v>
      </c>
      <c r="C13" s="20" t="s">
        <v>280</v>
      </c>
      <c r="D13" s="20" t="s">
        <v>281</v>
      </c>
      <c r="E13" s="20" t="s">
        <v>282</v>
      </c>
      <c r="F13" s="19" t="s">
        <v>283</v>
      </c>
      <c r="G13" s="20" t="s">
        <v>284</v>
      </c>
      <c r="H13" s="26" t="s">
        <v>226</v>
      </c>
      <c r="I13" s="21" t="s">
        <v>69</v>
      </c>
      <c r="J13" s="22"/>
      <c r="K13" s="19" t="s">
        <v>285</v>
      </c>
    </row>
    <row r="14" spans="1:11" ht="45" customHeight="1" x14ac:dyDescent="0.3">
      <c r="A14" s="27" t="s">
        <v>286</v>
      </c>
      <c r="B14" s="20" t="s">
        <v>287</v>
      </c>
      <c r="C14" s="20" t="s">
        <v>288</v>
      </c>
      <c r="D14" s="20" t="s">
        <v>289</v>
      </c>
      <c r="E14" s="20" t="s">
        <v>290</v>
      </c>
      <c r="F14" s="19" t="s">
        <v>226</v>
      </c>
      <c r="G14" s="20" t="s">
        <v>291</v>
      </c>
      <c r="H14" s="26" t="s">
        <v>271</v>
      </c>
      <c r="I14" s="21" t="s">
        <v>69</v>
      </c>
      <c r="J14" s="22"/>
      <c r="K14" s="19" t="s">
        <v>146</v>
      </c>
    </row>
    <row r="15" spans="1:11" ht="58.5" customHeight="1" x14ac:dyDescent="0.3">
      <c r="A15" s="27" t="s">
        <v>292</v>
      </c>
      <c r="B15" s="20" t="s">
        <v>293</v>
      </c>
      <c r="C15" s="20" t="s">
        <v>294</v>
      </c>
      <c r="D15" s="20" t="s">
        <v>295</v>
      </c>
      <c r="E15" s="20" t="s">
        <v>296</v>
      </c>
      <c r="F15" s="19" t="s">
        <v>226</v>
      </c>
      <c r="G15" s="20" t="s">
        <v>297</v>
      </c>
      <c r="H15" s="26" t="s">
        <v>226</v>
      </c>
      <c r="I15" s="21" t="s">
        <v>69</v>
      </c>
      <c r="J15" s="22"/>
      <c r="K15" s="19" t="s">
        <v>173</v>
      </c>
    </row>
  </sheetData>
  <autoFilter ref="A4:K15" xr:uid="{00000000-0009-0000-0000-000002000000}"/>
  <mergeCells count="2">
    <mergeCell ref="A1:K1"/>
    <mergeCell ref="A2:K2"/>
  </mergeCells>
  <conditionalFormatting sqref="A5:G15">
    <cfRule type="expression" dxfId="5" priority="2">
      <formula>$I5="☑"</formula>
    </cfRule>
  </conditionalFormatting>
  <dataValidations count="2">
    <dataValidation type="list" allowBlank="1" sqref="H5:H15" xr:uid="{00000000-0002-0000-0200-000000000000}">
      <formula1>"A,B,Khác"</formula1>
      <formula2>0</formula2>
    </dataValidation>
    <dataValidation type="list" errorTitle="Giá trị không hợp lệ" error="Chọn ☐ (chưa) hoặc ☑ (xong) trong danh sách" sqref="I5:I15" xr:uid="{00000000-0002-0000-0200-000001000000}">
      <formula1>"☐,☑"</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86AB"/>
  </sheetPr>
  <dimension ref="A1:F13"/>
  <sheetViews>
    <sheetView zoomScaleNormal="100" workbookViewId="0">
      <pane xSplit="2" ySplit="4" topLeftCell="C7" activePane="bottomRight" state="frozen"/>
      <selection pane="topRight" activeCell="C1" sqref="C1"/>
      <selection pane="bottomLeft" activeCell="A10" sqref="A10"/>
      <selection pane="bottomRight" sqref="A1:F1"/>
    </sheetView>
  </sheetViews>
  <sheetFormatPr defaultColWidth="8.6640625" defaultRowHeight="14.4" x14ac:dyDescent="0.3"/>
  <cols>
    <col min="1" max="1" width="7" customWidth="1"/>
    <col min="2" max="2" width="26" customWidth="1"/>
    <col min="3" max="3" width="46" customWidth="1"/>
    <col min="4" max="4" width="52" customWidth="1"/>
    <col min="5" max="5" width="62" customWidth="1"/>
    <col min="6" max="6" width="14" customWidth="1"/>
  </cols>
  <sheetData>
    <row r="1" spans="1:6" ht="25.5" customHeight="1" x14ac:dyDescent="0.35">
      <c r="A1" s="5" t="s">
        <v>298</v>
      </c>
      <c r="B1" s="5"/>
      <c r="C1" s="5"/>
      <c r="D1" s="5"/>
      <c r="E1" s="5"/>
      <c r="F1" s="5"/>
    </row>
    <row r="2" spans="1:6" ht="43.5" customHeight="1" x14ac:dyDescent="0.3">
      <c r="A2" s="4" t="s">
        <v>299</v>
      </c>
      <c r="B2" s="4"/>
      <c r="C2" s="4"/>
      <c r="D2" s="4"/>
      <c r="E2" s="4"/>
      <c r="F2" s="4"/>
    </row>
    <row r="4" spans="1:6" ht="33.75" customHeight="1" x14ac:dyDescent="0.3">
      <c r="A4" s="18" t="s">
        <v>52</v>
      </c>
      <c r="B4" s="18" t="s">
        <v>300</v>
      </c>
      <c r="C4" s="18" t="s">
        <v>301</v>
      </c>
      <c r="D4" s="18" t="s">
        <v>302</v>
      </c>
      <c r="E4" s="18" t="s">
        <v>303</v>
      </c>
      <c r="F4" s="18" t="s">
        <v>220</v>
      </c>
    </row>
    <row r="5" spans="1:6" ht="98.25" customHeight="1" x14ac:dyDescent="0.3">
      <c r="A5" s="19" t="s">
        <v>122</v>
      </c>
      <c r="B5" s="28" t="s">
        <v>304</v>
      </c>
      <c r="C5" s="20" t="s">
        <v>305</v>
      </c>
      <c r="D5" s="29" t="s">
        <v>306</v>
      </c>
      <c r="E5" s="20" t="s">
        <v>307</v>
      </c>
      <c r="F5" s="19" t="s">
        <v>308</v>
      </c>
    </row>
    <row r="6" spans="1:6" ht="177" customHeight="1" x14ac:dyDescent="0.3">
      <c r="A6" s="19" t="s">
        <v>72</v>
      </c>
      <c r="B6" s="28" t="s">
        <v>309</v>
      </c>
      <c r="C6" s="20" t="s">
        <v>310</v>
      </c>
      <c r="D6" s="29" t="s">
        <v>311</v>
      </c>
      <c r="E6" s="20" t="s">
        <v>312</v>
      </c>
      <c r="F6" s="19" t="s">
        <v>313</v>
      </c>
    </row>
    <row r="7" spans="1:6" ht="111" customHeight="1" x14ac:dyDescent="0.3">
      <c r="A7" s="19" t="s">
        <v>98</v>
      </c>
      <c r="B7" s="28" t="s">
        <v>314</v>
      </c>
      <c r="C7" s="20" t="s">
        <v>315</v>
      </c>
      <c r="D7" s="29" t="s">
        <v>316</v>
      </c>
      <c r="E7" s="20" t="s">
        <v>317</v>
      </c>
      <c r="F7" s="19" t="s">
        <v>92</v>
      </c>
    </row>
    <row r="8" spans="1:6" ht="98.25" customHeight="1" x14ac:dyDescent="0.3">
      <c r="A8" s="19" t="s">
        <v>134</v>
      </c>
      <c r="B8" s="28" t="s">
        <v>318</v>
      </c>
      <c r="C8" s="20" t="s">
        <v>319</v>
      </c>
      <c r="D8" s="29" t="s">
        <v>320</v>
      </c>
      <c r="E8" s="20" t="s">
        <v>321</v>
      </c>
      <c r="F8" s="19" t="s">
        <v>322</v>
      </c>
    </row>
    <row r="9" spans="1:6" ht="124.5" customHeight="1" x14ac:dyDescent="0.3">
      <c r="A9" s="19" t="s">
        <v>139</v>
      </c>
      <c r="B9" s="28" t="s">
        <v>323</v>
      </c>
      <c r="C9" s="20" t="s">
        <v>324</v>
      </c>
      <c r="D9" s="29" t="s">
        <v>325</v>
      </c>
      <c r="E9" s="20" t="s">
        <v>326</v>
      </c>
      <c r="F9" s="19" t="s">
        <v>327</v>
      </c>
    </row>
    <row r="10" spans="1:6" ht="98.25" customHeight="1" x14ac:dyDescent="0.3">
      <c r="A10" s="19" t="s">
        <v>164</v>
      </c>
      <c r="B10" s="28" t="s">
        <v>328</v>
      </c>
      <c r="C10" s="20" t="s">
        <v>329</v>
      </c>
      <c r="D10" s="29" t="s">
        <v>330</v>
      </c>
      <c r="E10" s="20" t="s">
        <v>331</v>
      </c>
      <c r="F10" s="19" t="s">
        <v>332</v>
      </c>
    </row>
    <row r="11" spans="1:6" ht="72" customHeight="1" x14ac:dyDescent="0.3">
      <c r="A11" s="19" t="s">
        <v>178</v>
      </c>
      <c r="B11" s="28" t="s">
        <v>333</v>
      </c>
      <c r="C11" s="20" t="s">
        <v>334</v>
      </c>
      <c r="D11" s="29" t="s">
        <v>335</v>
      </c>
      <c r="E11" s="20" t="s">
        <v>336</v>
      </c>
      <c r="F11" s="19" t="s">
        <v>173</v>
      </c>
    </row>
    <row r="12" spans="1:6" ht="72" customHeight="1" x14ac:dyDescent="0.3">
      <c r="A12" s="19" t="s">
        <v>158</v>
      </c>
      <c r="B12" s="28" t="s">
        <v>337</v>
      </c>
      <c r="C12" s="20" t="s">
        <v>338</v>
      </c>
      <c r="D12" s="29" t="s">
        <v>339</v>
      </c>
      <c r="E12" s="20" t="s">
        <v>340</v>
      </c>
      <c r="F12" s="19" t="s">
        <v>154</v>
      </c>
    </row>
    <row r="13" spans="1:6" ht="84.75" customHeight="1" x14ac:dyDescent="0.3">
      <c r="A13" s="19" t="s">
        <v>145</v>
      </c>
      <c r="B13" s="28" t="s">
        <v>341</v>
      </c>
      <c r="C13" s="20" t="s">
        <v>342</v>
      </c>
      <c r="D13" s="29" t="s">
        <v>343</v>
      </c>
      <c r="E13" s="20" t="s">
        <v>344</v>
      </c>
      <c r="F13" s="19" t="s">
        <v>140</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7AE60"/>
  </sheetPr>
  <dimension ref="A1:K40"/>
  <sheetViews>
    <sheetView zoomScaleNormal="100" workbookViewId="0">
      <pane xSplit="3" ySplit="4" topLeftCell="E16" activePane="bottomRight" state="frozen"/>
      <selection pane="topRight" activeCell="F1" sqref="F1"/>
      <selection pane="bottomLeft" activeCell="A37" sqref="A37"/>
      <selection pane="bottomRight" activeCell="J6" sqref="J6"/>
    </sheetView>
  </sheetViews>
  <sheetFormatPr defaultColWidth="8.6640625" defaultRowHeight="14.4" x14ac:dyDescent="0.3"/>
  <cols>
    <col min="1" max="1" width="9" customWidth="1"/>
    <col min="2" max="2" width="10" customWidth="1"/>
    <col min="3" max="3" width="44" customWidth="1"/>
    <col min="4" max="4" width="16" customWidth="1"/>
    <col min="5" max="5" width="44" customWidth="1"/>
    <col min="6" max="7" width="38" customWidth="1"/>
    <col min="8" max="8" width="32" customWidth="1"/>
    <col min="9" max="9" width="12" customWidth="1"/>
    <col min="10" max="10" width="10" customWidth="1"/>
    <col min="11" max="11" width="11" customWidth="1"/>
  </cols>
  <sheetData>
    <row r="1" spans="1:11" ht="25.5" customHeight="1" x14ac:dyDescent="0.35">
      <c r="A1" s="5" t="s">
        <v>345</v>
      </c>
      <c r="B1" s="5"/>
      <c r="C1" s="5"/>
      <c r="D1" s="5"/>
      <c r="E1" s="5"/>
      <c r="F1" s="5"/>
      <c r="G1" s="5"/>
      <c r="H1" s="5"/>
      <c r="I1" s="5"/>
      <c r="J1" s="5"/>
      <c r="K1" s="5"/>
    </row>
    <row r="2" spans="1:11" ht="43.5" customHeight="1" x14ac:dyDescent="0.3">
      <c r="A2" s="4" t="s">
        <v>346</v>
      </c>
      <c r="B2" s="4"/>
      <c r="C2" s="4"/>
      <c r="D2" s="4"/>
      <c r="E2" s="4"/>
      <c r="F2" s="4"/>
      <c r="G2" s="4"/>
      <c r="H2" s="4"/>
      <c r="I2" s="4"/>
      <c r="J2" s="4"/>
      <c r="K2" s="4"/>
    </row>
    <row r="4" spans="1:11" ht="33.75" customHeight="1" x14ac:dyDescent="0.3">
      <c r="A4" s="18" t="s">
        <v>347</v>
      </c>
      <c r="B4" s="18" t="s">
        <v>348</v>
      </c>
      <c r="C4" s="18" t="s">
        <v>349</v>
      </c>
      <c r="D4" s="18" t="s">
        <v>350</v>
      </c>
      <c r="E4" s="18" t="s">
        <v>351</v>
      </c>
      <c r="F4" s="18" t="s">
        <v>352</v>
      </c>
      <c r="G4" s="18" t="s">
        <v>353</v>
      </c>
      <c r="H4" s="18" t="s">
        <v>354</v>
      </c>
      <c r="I4" s="18" t="s">
        <v>355</v>
      </c>
      <c r="J4" s="18" t="s">
        <v>356</v>
      </c>
      <c r="K4" s="18" t="s">
        <v>357</v>
      </c>
    </row>
    <row r="5" spans="1:11" ht="32.25" customHeight="1" x14ac:dyDescent="0.3">
      <c r="A5" s="19" t="s">
        <v>358</v>
      </c>
      <c r="B5" s="19" t="s">
        <v>359</v>
      </c>
      <c r="C5" s="30" t="s">
        <v>360</v>
      </c>
      <c r="D5" s="19" t="s">
        <v>361</v>
      </c>
      <c r="E5" s="20" t="s">
        <v>362</v>
      </c>
      <c r="F5" s="20" t="s">
        <v>363</v>
      </c>
      <c r="G5" s="20" t="s">
        <v>364</v>
      </c>
      <c r="H5" s="20" t="s">
        <v>365</v>
      </c>
      <c r="I5" s="19" t="s">
        <v>366</v>
      </c>
      <c r="J5" s="19" t="s">
        <v>45</v>
      </c>
      <c r="K5" s="21" t="s">
        <v>70</v>
      </c>
    </row>
    <row r="6" spans="1:11" ht="32.25" customHeight="1" x14ac:dyDescent="0.3">
      <c r="A6" s="19" t="s">
        <v>358</v>
      </c>
      <c r="B6" s="19" t="s">
        <v>359</v>
      </c>
      <c r="C6" s="30" t="s">
        <v>367</v>
      </c>
      <c r="D6" s="19" t="s">
        <v>368</v>
      </c>
      <c r="E6" s="20" t="s">
        <v>369</v>
      </c>
      <c r="F6" s="20" t="s">
        <v>370</v>
      </c>
      <c r="G6" s="20" t="s">
        <v>371</v>
      </c>
      <c r="H6" s="20" t="s">
        <v>372</v>
      </c>
      <c r="I6" s="19" t="s">
        <v>366</v>
      </c>
      <c r="J6" s="19" t="s">
        <v>45</v>
      </c>
      <c r="K6" s="21" t="s">
        <v>70</v>
      </c>
    </row>
    <row r="7" spans="1:11" ht="21.75" customHeight="1" x14ac:dyDescent="0.3">
      <c r="A7" s="19" t="s">
        <v>358</v>
      </c>
      <c r="B7" s="19" t="s">
        <v>359</v>
      </c>
      <c r="C7" s="30" t="s">
        <v>373</v>
      </c>
      <c r="D7" s="19" t="s">
        <v>368</v>
      </c>
      <c r="E7" s="20" t="s">
        <v>374</v>
      </c>
      <c r="F7" s="20" t="s">
        <v>375</v>
      </c>
      <c r="G7" s="20" t="s">
        <v>376</v>
      </c>
      <c r="H7" s="20" t="s">
        <v>377</v>
      </c>
      <c r="I7" s="19" t="s">
        <v>378</v>
      </c>
      <c r="J7" s="19" t="s">
        <v>45</v>
      </c>
      <c r="K7" s="21" t="s">
        <v>70</v>
      </c>
    </row>
    <row r="8" spans="1:11" ht="32.25" customHeight="1" x14ac:dyDescent="0.3">
      <c r="A8" s="19" t="s">
        <v>358</v>
      </c>
      <c r="B8" s="19" t="s">
        <v>359</v>
      </c>
      <c r="C8" s="30" t="s">
        <v>379</v>
      </c>
      <c r="D8" s="31" t="s">
        <v>380</v>
      </c>
      <c r="E8" s="20" t="s">
        <v>381</v>
      </c>
      <c r="F8" s="20" t="s">
        <v>382</v>
      </c>
      <c r="G8" s="20" t="s">
        <v>383</v>
      </c>
      <c r="H8" s="20" t="s">
        <v>384</v>
      </c>
      <c r="I8" s="19" t="s">
        <v>366</v>
      </c>
      <c r="J8" s="19" t="s">
        <v>45</v>
      </c>
      <c r="K8" s="21" t="s">
        <v>70</v>
      </c>
    </row>
    <row r="9" spans="1:11" ht="21.75" customHeight="1" x14ac:dyDescent="0.3">
      <c r="A9" s="19" t="s">
        <v>358</v>
      </c>
      <c r="B9" s="19" t="s">
        <v>359</v>
      </c>
      <c r="C9" s="30" t="s">
        <v>385</v>
      </c>
      <c r="D9" s="31" t="s">
        <v>380</v>
      </c>
      <c r="E9" s="20" t="s">
        <v>386</v>
      </c>
      <c r="F9" s="20" t="s">
        <v>387</v>
      </c>
      <c r="G9" s="20" t="s">
        <v>376</v>
      </c>
      <c r="H9" s="20" t="s">
        <v>388</v>
      </c>
      <c r="I9" s="19" t="s">
        <v>366</v>
      </c>
      <c r="J9" s="19" t="s">
        <v>45</v>
      </c>
      <c r="K9" s="21" t="s">
        <v>70</v>
      </c>
    </row>
    <row r="10" spans="1:11" ht="32.25" customHeight="1" x14ac:dyDescent="0.3">
      <c r="A10" s="19" t="s">
        <v>358</v>
      </c>
      <c r="B10" s="19" t="s">
        <v>389</v>
      </c>
      <c r="C10" s="30" t="s">
        <v>390</v>
      </c>
      <c r="D10" s="19" t="s">
        <v>368</v>
      </c>
      <c r="E10" s="20" t="s">
        <v>391</v>
      </c>
      <c r="F10" s="20" t="s">
        <v>375</v>
      </c>
      <c r="G10" s="20" t="s">
        <v>392</v>
      </c>
      <c r="H10" s="20" t="s">
        <v>377</v>
      </c>
      <c r="I10" s="19" t="s">
        <v>378</v>
      </c>
      <c r="J10" s="19" t="s">
        <v>45</v>
      </c>
      <c r="K10" s="21" t="s">
        <v>70</v>
      </c>
    </row>
    <row r="11" spans="1:11" ht="32.25" customHeight="1" x14ac:dyDescent="0.3">
      <c r="A11" s="19" t="s">
        <v>358</v>
      </c>
      <c r="B11" s="19" t="s">
        <v>393</v>
      </c>
      <c r="C11" s="30" t="s">
        <v>390</v>
      </c>
      <c r="D11" s="19" t="s">
        <v>361</v>
      </c>
      <c r="E11" s="20" t="s">
        <v>394</v>
      </c>
      <c r="F11" s="20" t="s">
        <v>395</v>
      </c>
      <c r="G11" s="20" t="s">
        <v>396</v>
      </c>
      <c r="H11" s="20" t="s">
        <v>397</v>
      </c>
      <c r="I11" s="19" t="s">
        <v>378</v>
      </c>
      <c r="J11" s="19" t="s">
        <v>45</v>
      </c>
      <c r="K11" s="21" t="s">
        <v>70</v>
      </c>
    </row>
    <row r="12" spans="1:11" ht="32.25" customHeight="1" x14ac:dyDescent="0.3">
      <c r="A12" s="19" t="s">
        <v>358</v>
      </c>
      <c r="B12" s="19" t="s">
        <v>359</v>
      </c>
      <c r="C12" s="30" t="s">
        <v>398</v>
      </c>
      <c r="D12" s="31" t="s">
        <v>399</v>
      </c>
      <c r="E12" s="20" t="s">
        <v>400</v>
      </c>
      <c r="F12" s="20" t="s">
        <v>401</v>
      </c>
      <c r="G12" s="20" t="s">
        <v>402</v>
      </c>
      <c r="H12" s="20" t="s">
        <v>403</v>
      </c>
      <c r="I12" s="19" t="s">
        <v>378</v>
      </c>
      <c r="J12" s="19" t="s">
        <v>45</v>
      </c>
      <c r="K12" s="21" t="s">
        <v>70</v>
      </c>
    </row>
    <row r="13" spans="1:11" ht="21.75" customHeight="1" x14ac:dyDescent="0.3">
      <c r="A13" s="19" t="s">
        <v>358</v>
      </c>
      <c r="B13" s="19" t="s">
        <v>359</v>
      </c>
      <c r="C13" s="30" t="s">
        <v>404</v>
      </c>
      <c r="D13" s="31" t="s">
        <v>380</v>
      </c>
      <c r="E13" s="20" t="s">
        <v>405</v>
      </c>
      <c r="F13" s="20" t="s">
        <v>406</v>
      </c>
      <c r="G13" s="20" t="s">
        <v>376</v>
      </c>
      <c r="H13" s="20" t="s">
        <v>407</v>
      </c>
      <c r="I13" s="19" t="s">
        <v>378</v>
      </c>
      <c r="J13" s="19" t="s">
        <v>45</v>
      </c>
      <c r="K13" s="21" t="s">
        <v>70</v>
      </c>
    </row>
    <row r="14" spans="1:11" ht="32.25" customHeight="1" x14ac:dyDescent="0.3">
      <c r="A14" s="19" t="s">
        <v>358</v>
      </c>
      <c r="B14" s="19" t="s">
        <v>389</v>
      </c>
      <c r="C14" s="30" t="s">
        <v>408</v>
      </c>
      <c r="D14" s="31" t="s">
        <v>380</v>
      </c>
      <c r="E14" s="20" t="s">
        <v>409</v>
      </c>
      <c r="F14" s="20" t="s">
        <v>375</v>
      </c>
      <c r="G14" s="20" t="s">
        <v>410</v>
      </c>
      <c r="H14" s="20" t="s">
        <v>377</v>
      </c>
      <c r="I14" s="19" t="s">
        <v>378</v>
      </c>
      <c r="J14" s="19" t="s">
        <v>45</v>
      </c>
      <c r="K14" s="21" t="s">
        <v>70</v>
      </c>
    </row>
    <row r="15" spans="1:11" ht="32.25" customHeight="1" x14ac:dyDescent="0.3">
      <c r="A15" s="19" t="s">
        <v>358</v>
      </c>
      <c r="B15" s="19" t="s">
        <v>389</v>
      </c>
      <c r="C15" s="30" t="s">
        <v>411</v>
      </c>
      <c r="D15" s="19" t="s">
        <v>412</v>
      </c>
      <c r="E15" s="20" t="s">
        <v>413</v>
      </c>
      <c r="F15" s="20" t="s">
        <v>414</v>
      </c>
      <c r="G15" s="20" t="s">
        <v>415</v>
      </c>
      <c r="H15" s="20" t="s">
        <v>377</v>
      </c>
      <c r="I15" s="19" t="s">
        <v>378</v>
      </c>
      <c r="J15" s="19" t="s">
        <v>45</v>
      </c>
      <c r="K15" s="21" t="s">
        <v>70</v>
      </c>
    </row>
    <row r="16" spans="1:11" ht="32.25" customHeight="1" x14ac:dyDescent="0.3">
      <c r="A16" s="19" t="s">
        <v>358</v>
      </c>
      <c r="B16" s="19" t="s">
        <v>393</v>
      </c>
      <c r="C16" s="30" t="s">
        <v>411</v>
      </c>
      <c r="D16" s="19" t="s">
        <v>416</v>
      </c>
      <c r="E16" s="20" t="s">
        <v>417</v>
      </c>
      <c r="F16" s="20" t="s">
        <v>418</v>
      </c>
      <c r="G16" s="20" t="s">
        <v>419</v>
      </c>
      <c r="H16" s="20" t="s">
        <v>420</v>
      </c>
      <c r="I16" s="19" t="s">
        <v>378</v>
      </c>
      <c r="J16" s="19" t="s">
        <v>45</v>
      </c>
      <c r="K16" s="21" t="s">
        <v>70</v>
      </c>
    </row>
    <row r="17" spans="1:11" ht="32.25" customHeight="1" x14ac:dyDescent="0.3">
      <c r="A17" s="19" t="s">
        <v>358</v>
      </c>
      <c r="B17" s="19" t="s">
        <v>389</v>
      </c>
      <c r="C17" s="30" t="s">
        <v>421</v>
      </c>
      <c r="D17" s="19" t="s">
        <v>368</v>
      </c>
      <c r="E17" s="20" t="s">
        <v>422</v>
      </c>
      <c r="F17" s="20" t="s">
        <v>423</v>
      </c>
      <c r="G17" s="20" t="s">
        <v>424</v>
      </c>
      <c r="H17" s="20" t="s">
        <v>377</v>
      </c>
      <c r="I17" s="19" t="s">
        <v>378</v>
      </c>
      <c r="J17" s="19" t="s">
        <v>45</v>
      </c>
      <c r="K17" s="21" t="s">
        <v>70</v>
      </c>
    </row>
    <row r="18" spans="1:11" ht="21.75" customHeight="1" x14ac:dyDescent="0.3">
      <c r="A18" s="19" t="s">
        <v>358</v>
      </c>
      <c r="B18" s="19" t="s">
        <v>389</v>
      </c>
      <c r="C18" s="30" t="s">
        <v>425</v>
      </c>
      <c r="D18" s="19" t="s">
        <v>368</v>
      </c>
      <c r="E18" s="20" t="s">
        <v>426</v>
      </c>
      <c r="F18" s="20" t="s">
        <v>375</v>
      </c>
      <c r="G18" s="20" t="s">
        <v>427</v>
      </c>
      <c r="H18" s="20" t="s">
        <v>377</v>
      </c>
      <c r="I18" s="19" t="s">
        <v>378</v>
      </c>
      <c r="J18" s="19" t="s">
        <v>45</v>
      </c>
      <c r="K18" s="21" t="s">
        <v>70</v>
      </c>
    </row>
    <row r="19" spans="1:11" ht="21.75" customHeight="1" x14ac:dyDescent="0.3">
      <c r="A19" s="19" t="s">
        <v>358</v>
      </c>
      <c r="B19" s="19" t="s">
        <v>389</v>
      </c>
      <c r="C19" s="30" t="s">
        <v>428</v>
      </c>
      <c r="D19" s="19" t="s">
        <v>368</v>
      </c>
      <c r="E19" s="20" t="s">
        <v>429</v>
      </c>
      <c r="F19" s="20" t="s">
        <v>375</v>
      </c>
      <c r="G19" s="20" t="s">
        <v>427</v>
      </c>
      <c r="H19" s="20" t="s">
        <v>377</v>
      </c>
      <c r="I19" s="19" t="s">
        <v>378</v>
      </c>
      <c r="J19" s="19" t="s">
        <v>45</v>
      </c>
      <c r="K19" s="21" t="s">
        <v>70</v>
      </c>
    </row>
    <row r="20" spans="1:11" ht="21.75" customHeight="1" x14ac:dyDescent="0.3">
      <c r="A20" s="19" t="s">
        <v>358</v>
      </c>
      <c r="B20" s="19" t="s">
        <v>389</v>
      </c>
      <c r="C20" s="30" t="s">
        <v>430</v>
      </c>
      <c r="D20" s="19" t="s">
        <v>368</v>
      </c>
      <c r="E20" s="20" t="s">
        <v>431</v>
      </c>
      <c r="F20" s="20" t="s">
        <v>375</v>
      </c>
      <c r="G20" s="20" t="s">
        <v>427</v>
      </c>
      <c r="H20" s="20" t="s">
        <v>377</v>
      </c>
      <c r="I20" s="19" t="s">
        <v>378</v>
      </c>
      <c r="J20" s="19" t="s">
        <v>45</v>
      </c>
      <c r="K20" s="21" t="s">
        <v>70</v>
      </c>
    </row>
    <row r="21" spans="1:11" ht="21.75" customHeight="1" x14ac:dyDescent="0.3">
      <c r="A21" s="19" t="s">
        <v>358</v>
      </c>
      <c r="B21" s="19" t="s">
        <v>389</v>
      </c>
      <c r="C21" s="30" t="s">
        <v>432</v>
      </c>
      <c r="D21" s="31" t="s">
        <v>380</v>
      </c>
      <c r="E21" s="20" t="s">
        <v>433</v>
      </c>
      <c r="F21" s="20" t="s">
        <v>375</v>
      </c>
      <c r="G21" s="20" t="s">
        <v>427</v>
      </c>
      <c r="H21" s="20" t="s">
        <v>377</v>
      </c>
      <c r="I21" s="19" t="s">
        <v>378</v>
      </c>
      <c r="J21" s="19" t="s">
        <v>45</v>
      </c>
      <c r="K21" s="21" t="s">
        <v>70</v>
      </c>
    </row>
    <row r="22" spans="1:11" ht="32.25" customHeight="1" x14ac:dyDescent="0.3">
      <c r="A22" s="19" t="s">
        <v>434</v>
      </c>
      <c r="B22" s="19" t="s">
        <v>389</v>
      </c>
      <c r="C22" s="30" t="s">
        <v>435</v>
      </c>
      <c r="D22" s="32" t="s">
        <v>436</v>
      </c>
      <c r="E22" s="20" t="s">
        <v>437</v>
      </c>
      <c r="F22" s="20" t="s">
        <v>375</v>
      </c>
      <c r="G22" s="20" t="s">
        <v>438</v>
      </c>
      <c r="H22" s="20" t="s">
        <v>439</v>
      </c>
      <c r="I22" s="19" t="s">
        <v>378</v>
      </c>
      <c r="J22" s="19" t="s">
        <v>46</v>
      </c>
      <c r="K22" s="21" t="s">
        <v>70</v>
      </c>
    </row>
    <row r="23" spans="1:11" ht="32.25" customHeight="1" x14ac:dyDescent="0.3">
      <c r="A23" s="19" t="s">
        <v>434</v>
      </c>
      <c r="B23" s="19" t="s">
        <v>359</v>
      </c>
      <c r="C23" s="30" t="s">
        <v>440</v>
      </c>
      <c r="D23" s="32" t="s">
        <v>436</v>
      </c>
      <c r="E23" s="20" t="s">
        <v>441</v>
      </c>
      <c r="F23" s="20" t="s">
        <v>375</v>
      </c>
      <c r="G23" s="20" t="s">
        <v>442</v>
      </c>
      <c r="H23" s="20" t="s">
        <v>443</v>
      </c>
      <c r="I23" s="19" t="s">
        <v>378</v>
      </c>
      <c r="J23" s="19" t="s">
        <v>46</v>
      </c>
      <c r="K23" s="21" t="s">
        <v>70</v>
      </c>
    </row>
    <row r="24" spans="1:11" ht="32.25" customHeight="1" x14ac:dyDescent="0.3">
      <c r="A24" s="19" t="s">
        <v>434</v>
      </c>
      <c r="B24" s="19" t="s">
        <v>389</v>
      </c>
      <c r="C24" s="30" t="s">
        <v>444</v>
      </c>
      <c r="D24" s="19" t="s">
        <v>368</v>
      </c>
      <c r="E24" s="20" t="s">
        <v>445</v>
      </c>
      <c r="F24" s="20" t="s">
        <v>375</v>
      </c>
      <c r="G24" s="20" t="s">
        <v>446</v>
      </c>
      <c r="H24" s="20" t="s">
        <v>447</v>
      </c>
      <c r="I24" s="19" t="s">
        <v>378</v>
      </c>
      <c r="J24" s="19" t="s">
        <v>46</v>
      </c>
      <c r="K24" s="21" t="s">
        <v>70</v>
      </c>
    </row>
    <row r="25" spans="1:11" ht="32.25" customHeight="1" x14ac:dyDescent="0.3">
      <c r="A25" s="19" t="s">
        <v>434</v>
      </c>
      <c r="B25" s="19" t="s">
        <v>359</v>
      </c>
      <c r="C25" s="30" t="s">
        <v>448</v>
      </c>
      <c r="D25" s="19" t="s">
        <v>361</v>
      </c>
      <c r="E25" s="20" t="s">
        <v>449</v>
      </c>
      <c r="F25" s="20" t="s">
        <v>450</v>
      </c>
      <c r="G25" s="20" t="s">
        <v>451</v>
      </c>
      <c r="H25" s="20" t="s">
        <v>452</v>
      </c>
      <c r="I25" s="19" t="s">
        <v>378</v>
      </c>
      <c r="J25" s="19" t="s">
        <v>46</v>
      </c>
      <c r="K25" s="21" t="s">
        <v>70</v>
      </c>
    </row>
    <row r="26" spans="1:11" ht="32.25" customHeight="1" x14ac:dyDescent="0.3">
      <c r="A26" s="19" t="s">
        <v>434</v>
      </c>
      <c r="B26" s="19" t="s">
        <v>389</v>
      </c>
      <c r="C26" s="30" t="s">
        <v>453</v>
      </c>
      <c r="D26" s="19" t="s">
        <v>454</v>
      </c>
      <c r="E26" s="20" t="s">
        <v>455</v>
      </c>
      <c r="F26" s="20" t="s">
        <v>456</v>
      </c>
      <c r="G26" s="20" t="s">
        <v>457</v>
      </c>
      <c r="H26" s="20" t="s">
        <v>377</v>
      </c>
      <c r="I26" s="19" t="s">
        <v>378</v>
      </c>
      <c r="J26" s="19" t="s">
        <v>46</v>
      </c>
      <c r="K26" s="21" t="s">
        <v>70</v>
      </c>
    </row>
    <row r="27" spans="1:11" ht="32.25" customHeight="1" x14ac:dyDescent="0.3">
      <c r="A27" s="19" t="s">
        <v>434</v>
      </c>
      <c r="B27" s="19" t="s">
        <v>389</v>
      </c>
      <c r="C27" s="30" t="s">
        <v>458</v>
      </c>
      <c r="D27" s="19" t="s">
        <v>368</v>
      </c>
      <c r="E27" s="20" t="s">
        <v>459</v>
      </c>
      <c r="F27" s="20" t="s">
        <v>375</v>
      </c>
      <c r="G27" s="20" t="s">
        <v>460</v>
      </c>
      <c r="H27" s="20" t="s">
        <v>461</v>
      </c>
      <c r="I27" s="19" t="s">
        <v>378</v>
      </c>
      <c r="J27" s="19" t="s">
        <v>46</v>
      </c>
      <c r="K27" s="21" t="s">
        <v>70</v>
      </c>
    </row>
    <row r="28" spans="1:11" ht="32.25" customHeight="1" x14ac:dyDescent="0.3">
      <c r="A28" s="19" t="s">
        <v>434</v>
      </c>
      <c r="B28" s="19" t="s">
        <v>389</v>
      </c>
      <c r="C28" s="30" t="s">
        <v>462</v>
      </c>
      <c r="D28" s="33" t="s">
        <v>463</v>
      </c>
      <c r="E28" s="20" t="s">
        <v>464</v>
      </c>
      <c r="F28" s="20" t="s">
        <v>375</v>
      </c>
      <c r="G28" s="20" t="s">
        <v>375</v>
      </c>
      <c r="H28" s="20" t="s">
        <v>375</v>
      </c>
      <c r="I28" s="19" t="s">
        <v>375</v>
      </c>
      <c r="J28" s="19" t="s">
        <v>46</v>
      </c>
      <c r="K28" s="21" t="s">
        <v>70</v>
      </c>
    </row>
    <row r="29" spans="1:11" ht="32.25" customHeight="1" x14ac:dyDescent="0.3">
      <c r="A29" s="19" t="s">
        <v>434</v>
      </c>
      <c r="B29" s="19" t="s">
        <v>359</v>
      </c>
      <c r="C29" s="30" t="s">
        <v>465</v>
      </c>
      <c r="D29" s="33" t="s">
        <v>463</v>
      </c>
      <c r="E29" s="20" t="s">
        <v>466</v>
      </c>
      <c r="F29" s="20" t="s">
        <v>375</v>
      </c>
      <c r="G29" s="20" t="s">
        <v>375</v>
      </c>
      <c r="H29" s="20" t="s">
        <v>375</v>
      </c>
      <c r="I29" s="19" t="s">
        <v>375</v>
      </c>
      <c r="J29" s="19" t="s">
        <v>46</v>
      </c>
      <c r="K29" s="21" t="s">
        <v>70</v>
      </c>
    </row>
    <row r="30" spans="1:11" ht="21.75" customHeight="1" x14ac:dyDescent="0.3">
      <c r="A30" s="19" t="s">
        <v>434</v>
      </c>
      <c r="B30" s="19" t="s">
        <v>467</v>
      </c>
      <c r="C30" s="30" t="s">
        <v>468</v>
      </c>
      <c r="D30" s="33" t="s">
        <v>463</v>
      </c>
      <c r="E30" s="20" t="s">
        <v>469</v>
      </c>
      <c r="F30" s="20" t="s">
        <v>375</v>
      </c>
      <c r="G30" s="20" t="s">
        <v>375</v>
      </c>
      <c r="H30" s="20" t="s">
        <v>375</v>
      </c>
      <c r="I30" s="19" t="s">
        <v>375</v>
      </c>
      <c r="J30" s="19" t="s">
        <v>46</v>
      </c>
      <c r="K30" s="21" t="s">
        <v>70</v>
      </c>
    </row>
    <row r="31" spans="1:11" ht="32.25" customHeight="1" x14ac:dyDescent="0.3">
      <c r="A31" s="19" t="s">
        <v>470</v>
      </c>
      <c r="B31" s="19" t="s">
        <v>389</v>
      </c>
      <c r="C31" s="30" t="s">
        <v>471</v>
      </c>
      <c r="D31" s="31" t="s">
        <v>380</v>
      </c>
      <c r="E31" s="20" t="s">
        <v>472</v>
      </c>
      <c r="F31" s="20" t="s">
        <v>473</v>
      </c>
      <c r="G31" s="20" t="s">
        <v>427</v>
      </c>
      <c r="H31" s="20" t="s">
        <v>474</v>
      </c>
      <c r="I31" s="19" t="s">
        <v>475</v>
      </c>
      <c r="J31" s="19" t="s">
        <v>46</v>
      </c>
      <c r="K31" s="21" t="s">
        <v>70</v>
      </c>
    </row>
    <row r="32" spans="1:11" ht="32.25" customHeight="1" x14ac:dyDescent="0.3">
      <c r="A32" s="19" t="s">
        <v>470</v>
      </c>
      <c r="B32" s="19" t="s">
        <v>359</v>
      </c>
      <c r="C32" s="30" t="s">
        <v>471</v>
      </c>
      <c r="D32" s="31" t="s">
        <v>380</v>
      </c>
      <c r="E32" s="20" t="s">
        <v>476</v>
      </c>
      <c r="F32" s="20" t="s">
        <v>477</v>
      </c>
      <c r="G32" s="20" t="s">
        <v>478</v>
      </c>
      <c r="H32" s="20" t="s">
        <v>479</v>
      </c>
      <c r="I32" s="19" t="s">
        <v>475</v>
      </c>
      <c r="J32" s="19" t="s">
        <v>46</v>
      </c>
      <c r="K32" s="21" t="s">
        <v>70</v>
      </c>
    </row>
    <row r="33" spans="1:11" ht="21.75" customHeight="1" x14ac:dyDescent="0.3">
      <c r="A33" s="19" t="s">
        <v>470</v>
      </c>
      <c r="B33" s="19" t="s">
        <v>389</v>
      </c>
      <c r="C33" s="30" t="s">
        <v>480</v>
      </c>
      <c r="D33" s="31" t="s">
        <v>380</v>
      </c>
      <c r="E33" s="20" t="s">
        <v>481</v>
      </c>
      <c r="F33" s="20" t="s">
        <v>375</v>
      </c>
      <c r="G33" s="20" t="s">
        <v>482</v>
      </c>
      <c r="H33" s="20" t="s">
        <v>461</v>
      </c>
      <c r="I33" s="19" t="s">
        <v>475</v>
      </c>
      <c r="J33" s="19" t="s">
        <v>46</v>
      </c>
      <c r="K33" s="21" t="s">
        <v>70</v>
      </c>
    </row>
    <row r="34" spans="1:11" ht="21.75" customHeight="1" x14ac:dyDescent="0.3">
      <c r="A34" s="19" t="s">
        <v>470</v>
      </c>
      <c r="B34" s="19" t="s">
        <v>393</v>
      </c>
      <c r="C34" s="30" t="s">
        <v>480</v>
      </c>
      <c r="D34" s="31" t="s">
        <v>380</v>
      </c>
      <c r="E34" s="20" t="s">
        <v>483</v>
      </c>
      <c r="F34" s="20" t="s">
        <v>484</v>
      </c>
      <c r="G34" s="20" t="s">
        <v>376</v>
      </c>
      <c r="H34" s="20" t="s">
        <v>485</v>
      </c>
      <c r="I34" s="19" t="s">
        <v>475</v>
      </c>
      <c r="J34" s="19" t="s">
        <v>46</v>
      </c>
      <c r="K34" s="21" t="s">
        <v>70</v>
      </c>
    </row>
    <row r="35" spans="1:11" ht="32.25" customHeight="1" x14ac:dyDescent="0.3">
      <c r="A35" s="19" t="s">
        <v>470</v>
      </c>
      <c r="B35" s="19" t="s">
        <v>486</v>
      </c>
      <c r="C35" s="30" t="s">
        <v>480</v>
      </c>
      <c r="D35" s="31" t="s">
        <v>380</v>
      </c>
      <c r="E35" s="20" t="s">
        <v>487</v>
      </c>
      <c r="F35" s="20" t="s">
        <v>375</v>
      </c>
      <c r="G35" s="20" t="s">
        <v>488</v>
      </c>
      <c r="H35" s="20" t="s">
        <v>461</v>
      </c>
      <c r="I35" s="19" t="s">
        <v>475</v>
      </c>
      <c r="J35" s="19" t="s">
        <v>46</v>
      </c>
      <c r="K35" s="21" t="s">
        <v>70</v>
      </c>
    </row>
    <row r="36" spans="1:11" ht="21.75" customHeight="1" x14ac:dyDescent="0.3">
      <c r="A36" s="19" t="s">
        <v>470</v>
      </c>
      <c r="B36" s="19" t="s">
        <v>359</v>
      </c>
      <c r="C36" s="30" t="s">
        <v>489</v>
      </c>
      <c r="D36" s="31" t="s">
        <v>399</v>
      </c>
      <c r="E36" s="20" t="s">
        <v>490</v>
      </c>
      <c r="F36" s="20" t="s">
        <v>491</v>
      </c>
      <c r="G36" s="20" t="s">
        <v>492</v>
      </c>
      <c r="H36" s="20" t="s">
        <v>384</v>
      </c>
      <c r="I36" s="19" t="s">
        <v>475</v>
      </c>
      <c r="J36" s="19" t="s">
        <v>46</v>
      </c>
      <c r="K36" s="21" t="s">
        <v>70</v>
      </c>
    </row>
    <row r="37" spans="1:11" ht="32.25" customHeight="1" x14ac:dyDescent="0.3">
      <c r="A37" s="19" t="s">
        <v>493</v>
      </c>
      <c r="B37" s="19" t="s">
        <v>359</v>
      </c>
      <c r="C37" s="30" t="s">
        <v>494</v>
      </c>
      <c r="D37" s="31" t="s">
        <v>380</v>
      </c>
      <c r="E37" s="20" t="s">
        <v>495</v>
      </c>
      <c r="F37" s="20" t="s">
        <v>496</v>
      </c>
      <c r="G37" s="20" t="s">
        <v>478</v>
      </c>
      <c r="H37" s="20" t="s">
        <v>497</v>
      </c>
      <c r="I37" s="19" t="s">
        <v>378</v>
      </c>
      <c r="J37" s="19" t="s">
        <v>48</v>
      </c>
      <c r="K37" s="21" t="s">
        <v>70</v>
      </c>
    </row>
    <row r="38" spans="1:11" ht="32.25" customHeight="1" x14ac:dyDescent="0.3">
      <c r="A38" s="19" t="s">
        <v>493</v>
      </c>
      <c r="B38" s="19" t="s">
        <v>389</v>
      </c>
      <c r="C38" s="30" t="s">
        <v>498</v>
      </c>
      <c r="D38" s="31" t="s">
        <v>380</v>
      </c>
      <c r="E38" s="20" t="s">
        <v>499</v>
      </c>
      <c r="F38" s="20" t="s">
        <v>375</v>
      </c>
      <c r="G38" s="20" t="s">
        <v>500</v>
      </c>
      <c r="H38" s="20" t="s">
        <v>461</v>
      </c>
      <c r="I38" s="19" t="s">
        <v>378</v>
      </c>
      <c r="J38" s="19" t="s">
        <v>48</v>
      </c>
      <c r="K38" s="21" t="s">
        <v>70</v>
      </c>
    </row>
    <row r="39" spans="1:11" ht="21.75" customHeight="1" x14ac:dyDescent="0.3">
      <c r="A39" s="19" t="s">
        <v>493</v>
      </c>
      <c r="B39" s="19" t="s">
        <v>389</v>
      </c>
      <c r="C39" s="30" t="s">
        <v>501</v>
      </c>
      <c r="D39" s="31" t="s">
        <v>380</v>
      </c>
      <c r="E39" s="20" t="s">
        <v>502</v>
      </c>
      <c r="F39" s="20" t="s">
        <v>503</v>
      </c>
      <c r="G39" s="20" t="s">
        <v>427</v>
      </c>
      <c r="H39" s="20" t="s">
        <v>504</v>
      </c>
      <c r="I39" s="19" t="s">
        <v>475</v>
      </c>
      <c r="J39" s="19" t="s">
        <v>48</v>
      </c>
      <c r="K39" s="21" t="s">
        <v>70</v>
      </c>
    </row>
    <row r="40" spans="1:11" ht="21.75" customHeight="1" x14ac:dyDescent="0.3">
      <c r="A40" s="19" t="s">
        <v>493</v>
      </c>
      <c r="B40" s="19" t="s">
        <v>393</v>
      </c>
      <c r="C40" s="30" t="s">
        <v>505</v>
      </c>
      <c r="D40" s="31" t="s">
        <v>380</v>
      </c>
      <c r="E40" s="20" t="s">
        <v>506</v>
      </c>
      <c r="F40" s="20" t="s">
        <v>507</v>
      </c>
      <c r="G40" s="20" t="s">
        <v>376</v>
      </c>
      <c r="H40" s="20" t="s">
        <v>508</v>
      </c>
      <c r="I40" s="19" t="s">
        <v>475</v>
      </c>
      <c r="J40" s="19" t="s">
        <v>48</v>
      </c>
      <c r="K40" s="21" t="s">
        <v>70</v>
      </c>
    </row>
  </sheetData>
  <autoFilter ref="A4:K40" xr:uid="{00000000-0009-0000-0000-000004000000}"/>
  <mergeCells count="2">
    <mergeCell ref="A1:K1"/>
    <mergeCell ref="A2:K2"/>
  </mergeCells>
  <conditionalFormatting sqref="A5:J40">
    <cfRule type="expression" dxfId="4" priority="2">
      <formula>$K5="☑"</formula>
    </cfRule>
  </conditionalFormatting>
  <dataValidations count="1">
    <dataValidation type="list" errorTitle="Giá trị không hợp lệ" error="Chọn ☐ (chưa) hoặc ☑ (xong) trong danh sách" sqref="K5:K40" xr:uid="{00000000-0002-0000-0400-000000000000}">
      <formula1>"☐,☑"</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44AD"/>
  </sheetPr>
  <dimension ref="A1:G13"/>
  <sheetViews>
    <sheetView zoomScaleNormal="100" workbookViewId="0">
      <pane xSplit="2" ySplit="4" topLeftCell="C11" activePane="bottomRight" state="frozen"/>
      <selection pane="topRight" activeCell="C1" sqref="C1"/>
      <selection pane="bottomLeft" activeCell="A11" sqref="A11"/>
      <selection pane="bottomRight" activeCell="G13" sqref="G13"/>
    </sheetView>
  </sheetViews>
  <sheetFormatPr defaultColWidth="8.6640625" defaultRowHeight="14.4" x14ac:dyDescent="0.3"/>
  <cols>
    <col min="1" max="1" width="6" customWidth="1"/>
    <col min="2" max="2" width="32" customWidth="1"/>
    <col min="3" max="3" width="80" customWidth="1"/>
    <col min="4" max="4" width="11" customWidth="1"/>
    <col min="5" max="5" width="12" customWidth="1"/>
    <col min="6" max="6" width="11" customWidth="1"/>
    <col min="7" max="7" width="28" customWidth="1"/>
  </cols>
  <sheetData>
    <row r="1" spans="1:7" ht="25.5" customHeight="1" x14ac:dyDescent="0.35">
      <c r="A1" s="5" t="s">
        <v>509</v>
      </c>
      <c r="B1" s="5"/>
      <c r="C1" s="5"/>
      <c r="D1" s="5"/>
      <c r="E1" s="5"/>
      <c r="F1" s="5"/>
      <c r="G1" s="5"/>
    </row>
    <row r="2" spans="1:7" ht="43.5" customHeight="1" x14ac:dyDescent="0.3">
      <c r="A2" s="4" t="s">
        <v>510</v>
      </c>
      <c r="B2" s="4"/>
      <c r="C2" s="4"/>
      <c r="D2" s="4"/>
      <c r="E2" s="4"/>
      <c r="F2" s="4"/>
      <c r="G2" s="4"/>
    </row>
    <row r="4" spans="1:7" ht="33.75" customHeight="1" x14ac:dyDescent="0.3">
      <c r="A4" s="18" t="s">
        <v>511</v>
      </c>
      <c r="B4" s="18" t="s">
        <v>512</v>
      </c>
      <c r="C4" s="18" t="s">
        <v>513</v>
      </c>
      <c r="D4" s="18" t="s">
        <v>34</v>
      </c>
      <c r="E4" s="18" t="s">
        <v>356</v>
      </c>
      <c r="F4" s="18" t="s">
        <v>514</v>
      </c>
      <c r="G4" s="18" t="s">
        <v>515</v>
      </c>
    </row>
    <row r="5" spans="1:7" ht="32.25" customHeight="1" x14ac:dyDescent="0.3">
      <c r="A5" s="19">
        <v>1</v>
      </c>
      <c r="B5" s="20" t="s">
        <v>516</v>
      </c>
      <c r="C5" s="20" t="s">
        <v>517</v>
      </c>
      <c r="D5" s="19" t="s">
        <v>9</v>
      </c>
      <c r="E5" s="27" t="s">
        <v>518</v>
      </c>
      <c r="F5" s="21" t="s">
        <v>70</v>
      </c>
      <c r="G5" s="22"/>
    </row>
    <row r="6" spans="1:7" ht="32.25" customHeight="1" x14ac:dyDescent="0.3">
      <c r="A6" s="19">
        <v>2</v>
      </c>
      <c r="B6" s="20" t="s">
        <v>519</v>
      </c>
      <c r="C6" s="20" t="s">
        <v>520</v>
      </c>
      <c r="D6" s="19" t="s">
        <v>11</v>
      </c>
      <c r="E6" s="19" t="s">
        <v>46</v>
      </c>
      <c r="F6" s="21" t="s">
        <v>70</v>
      </c>
      <c r="G6" s="22"/>
    </row>
    <row r="7" spans="1:7" ht="58.5" customHeight="1" x14ac:dyDescent="0.3">
      <c r="A7" s="19">
        <v>3</v>
      </c>
      <c r="B7" s="20" t="s">
        <v>521</v>
      </c>
      <c r="C7" s="20" t="s">
        <v>522</v>
      </c>
      <c r="D7" s="19" t="s">
        <v>9</v>
      </c>
      <c r="E7" s="27" t="s">
        <v>46</v>
      </c>
      <c r="F7" s="21" t="s">
        <v>70</v>
      </c>
      <c r="G7" s="22"/>
    </row>
    <row r="8" spans="1:7" ht="45" customHeight="1" x14ac:dyDescent="0.3">
      <c r="A8" s="19">
        <v>4</v>
      </c>
      <c r="B8" s="20" t="s">
        <v>523</v>
      </c>
      <c r="C8" s="20" t="s">
        <v>524</v>
      </c>
      <c r="D8" s="19" t="s">
        <v>9</v>
      </c>
      <c r="E8" s="27" t="s">
        <v>46</v>
      </c>
      <c r="F8" s="21" t="s">
        <v>70</v>
      </c>
      <c r="G8" s="22"/>
    </row>
    <row r="9" spans="1:7" ht="32.25" customHeight="1" x14ac:dyDescent="0.3">
      <c r="A9" s="19">
        <v>5</v>
      </c>
      <c r="B9" s="20" t="s">
        <v>525</v>
      </c>
      <c r="C9" s="24" t="s">
        <v>526</v>
      </c>
      <c r="D9" s="19" t="s">
        <v>9</v>
      </c>
      <c r="E9" s="27" t="s">
        <v>46</v>
      </c>
      <c r="F9" s="21" t="s">
        <v>70</v>
      </c>
      <c r="G9" s="22"/>
    </row>
    <row r="10" spans="1:7" ht="32.25" customHeight="1" x14ac:dyDescent="0.3">
      <c r="A10" s="19">
        <v>6</v>
      </c>
      <c r="B10" s="20" t="s">
        <v>527</v>
      </c>
      <c r="C10" s="20" t="s">
        <v>528</v>
      </c>
      <c r="D10" s="19" t="s">
        <v>9</v>
      </c>
      <c r="E10" s="27" t="s">
        <v>46</v>
      </c>
      <c r="F10" s="21" t="s">
        <v>70</v>
      </c>
      <c r="G10" s="22"/>
    </row>
    <row r="11" spans="1:7" ht="32.25" customHeight="1" x14ac:dyDescent="0.3">
      <c r="A11" s="19">
        <v>7</v>
      </c>
      <c r="B11" s="20" t="s">
        <v>529</v>
      </c>
      <c r="C11" s="20" t="s">
        <v>530</v>
      </c>
      <c r="D11" s="19" t="s">
        <v>11</v>
      </c>
      <c r="E11" s="19"/>
      <c r="F11" s="21" t="s">
        <v>70</v>
      </c>
      <c r="G11" s="22"/>
    </row>
    <row r="12" spans="1:7" ht="32.25" customHeight="1" x14ac:dyDescent="0.3">
      <c r="A12" s="19">
        <v>8</v>
      </c>
      <c r="B12" s="20" t="s">
        <v>531</v>
      </c>
      <c r="C12" s="20" t="s">
        <v>532</v>
      </c>
      <c r="D12" s="19" t="s">
        <v>11</v>
      </c>
      <c r="E12" s="27" t="s">
        <v>46</v>
      </c>
      <c r="F12" s="21" t="s">
        <v>70</v>
      </c>
      <c r="G12" s="22"/>
    </row>
    <row r="13" spans="1:7" ht="32.25" customHeight="1" x14ac:dyDescent="0.3">
      <c r="A13" s="19">
        <v>9</v>
      </c>
      <c r="B13" s="20" t="s">
        <v>533</v>
      </c>
      <c r="C13" s="20" t="s">
        <v>534</v>
      </c>
      <c r="D13" s="19" t="s">
        <v>13</v>
      </c>
      <c r="E13" s="27" t="s">
        <v>518</v>
      </c>
      <c r="F13" s="21" t="s">
        <v>70</v>
      </c>
      <c r="G13" s="22"/>
    </row>
  </sheetData>
  <mergeCells count="2">
    <mergeCell ref="A1:G1"/>
    <mergeCell ref="A2:G2"/>
  </mergeCells>
  <conditionalFormatting sqref="A5:E13">
    <cfRule type="expression" dxfId="3" priority="5">
      <formula>$F5="☑"</formula>
    </cfRule>
  </conditionalFormatting>
  <conditionalFormatting sqref="D5:D13">
    <cfRule type="cellIs" dxfId="2" priority="2" operator="equal">
      <formula>"Bắt buộc"</formula>
    </cfRule>
    <cfRule type="cellIs" dxfId="1" priority="3" operator="equal">
      <formula>"Nên có"</formula>
    </cfRule>
    <cfRule type="cellIs" dxfId="0" priority="4" operator="equal">
      <formula>"Tùy chọn"</formula>
    </cfRule>
  </conditionalFormatting>
  <dataValidations count="1">
    <dataValidation type="list" errorTitle="Giá trị không hợp lệ" error="Chọn ☐ (chưa) hoặc ☑ (xong) trong danh sách" sqref="F5:F13" xr:uid="{00000000-0002-0000-0500-000000000000}">
      <formula1>"☐,☑"</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quan</vt:lpstr>
      <vt:lpstr>Danh sách thay đổi</vt:lpstr>
      <vt:lpstr>Quyết định cần chốt</vt:lpstr>
      <vt:lpstr>Giải thích</vt:lpstr>
      <vt:lpstr>Endpoint (bản mới)</vt:lpstr>
      <vt:lpstr>File cần sửa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Tuấn Phạm</cp:lastModifiedBy>
  <cp:revision>0</cp:revision>
  <dcterms:created xsi:type="dcterms:W3CDTF">2026-10-20T15:51:27Z</dcterms:created>
  <dcterms:modified xsi:type="dcterms:W3CDTF">2026-10-22T05:33:22Z</dcterms:modified>
  <dc:language>en-US</dc:language>
</cp:coreProperties>
</file>